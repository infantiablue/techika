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47ecee5f12a4049" /></Relationships>
</file>

<file path=xl/workbook.xml><?xml version="1.0" encoding="utf-8"?>
<x:workbook xmlns:x="http://schemas.openxmlformats.org/spreadsheetml/2006/main">
  <x:sheets>
    <x:sheet xmlns:r="http://schemas.openxmlformats.org/officeDocument/2006/relationships" name="Top Picks" sheetId="1" r:id="R03efb33c65534283"/>
    <x:sheet xmlns:r="http://schemas.openxmlformats.org/officeDocument/2006/relationships" name="Opportunity Matrix" sheetId="2" r:id="R9bb8a75ac0014247"/>
    <x:sheet xmlns:r="http://schemas.openxmlformats.org/officeDocument/2006/relationships" name="Scoring Guide &amp; Sources" sheetId="3" r:id="R3e7ace90233543c1"/>
    <x:sheet xmlns:r="http://schemas.openxmlformats.org/officeDocument/2006/relationships" name="Audience &amp; Demand Proof" sheetId="4" r:id="R353d1e1664fc4ba1"/>
    <x:sheet xmlns:r="http://schemas.openxmlformats.org/officeDocument/2006/relationships" name="Marketer &amp; Agency Scan" sheetId="5" r:id="R86861c606d804e4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17">
    <x:font>
      <x:sz val="11"/>
      <x:name val="Carlito"/>
    </x:font>
    <x:font>
      <x:b/>
      <x:sz val="16"/>
      <x:color rgb="FFFFFFFF"/>
      <x:name val="Carlito"/>
    </x:font>
    <x:font>
      <x:i/>
      <x:sz val="10"/>
      <x:color rgb="FF1F2937"/>
      <x:name val="Carlito"/>
    </x:font>
    <x:font>
      <x:b/>
      <x:sz val="10"/>
      <x:color rgb="FFFFFFFF"/>
      <x:name val="Carlito"/>
    </x:font>
    <x:font>
      <x:sz val="9"/>
      <x:color rgb="FF1F2937"/>
      <x:name val="Carlito"/>
    </x:font>
    <x:font>
      <x:sz val="9"/>
      <x:color rgb="FF1F2937"/>
      <x:name val="Carlito"/>
    </x:font>
    <x:font>
      <x:b/>
      <x:sz val="18"/>
      <x:color rgb="FFFFFFFF"/>
      <x:name val="Carlito"/>
    </x:font>
    <x:font>
      <x:b/>
      <x:sz val="10"/>
      <x:color rgb="FF475569"/>
      <x:name val="Carlito"/>
    </x:font>
    <x:font>
      <x:b/>
      <x:sz val="16"/>
      <x:color rgb="FF17365D"/>
      <x:name val="Carlito"/>
    </x:font>
    <x:font>
      <x:b/>
      <x:sz val="12"/>
      <x:color rgb="FFFFFFFF"/>
      <x:name val="Carlito"/>
    </x:font>
    <x:font>
      <x:b/>
      <x:sz val="10"/>
      <x:color rgb="FF17365D"/>
      <x:name val="Carlito"/>
    </x:font>
    <x:font>
      <x:sz val="10"/>
      <x:color rgb="FF1F2937"/>
      <x:name val="Carlito"/>
    </x:font>
    <x:font>
      <x:b/>
      <x:sz val="10"/>
      <x:color rgb="FF1B5E20"/>
      <x:name val="Carlito"/>
    </x:font>
    <x:font>
      <x:b/>
      <x:sz val="10"/>
      <x:color rgb="FF7F6000"/>
      <x:name val="Carlito"/>
    </x:font>
    <x:font>
      <x:i/>
      <x:sz val="10"/>
      <x:color rgb="FF475569"/>
      <x:name val="Carlito"/>
    </x:font>
    <x:font>
      <x:b/>
      <x:sz val="11"/>
      <x:color rgb="FFFFFFFF"/>
      <x:name val="Carlito"/>
    </x:font>
    <x:font>
      <x:b/>
      <x:sz val="9"/>
      <x:color rgb="FF17365D"/>
      <x:name val="Carlito"/>
    </x:font>
  </x:fonts>
  <x:fills count="10">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F3F6F9"/>
      </x:patternFill>
    </x:fill>
    <x:fill>
      <x:patternFill patternType="solid">
        <x:fgColor rgb="FFFFFFFF"/>
      </x:patternFill>
    </x:fill>
    <x:fill>
      <x:patternFill patternType="solid">
        <x:fgColor rgb="FFDCE6F1"/>
      </x:patternFill>
    </x:fill>
    <x:fill>
      <x:patternFill patternType="solid">
        <x:fgColor rgb="FFE2F0D9"/>
      </x:patternFill>
    </x:fill>
    <x:fill>
      <x:patternFill patternType="solid">
        <x:fgColor rgb="FFFFF2CC"/>
      </x:patternFill>
    </x:fill>
  </x:fills>
  <x:borders count="14">
    <x:border/>
    <x:border>
      <x:left style="thin">
        <x:color rgb="FFCBD5E1"/>
      </x:left>
      <x:right style="thin">
        <x:color rgb="FFCBD5E1"/>
      </x:right>
      <x:top style="thin">
        <x:color rgb="FFCBD5E1"/>
      </x:top>
      <x:bottom style="thin">
        <x:color rgb="FFCBD5E1"/>
      </x:bottom>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
      <x:left style="thin">
        <x:color rgb="FFCBD5E1"/>
      </x:left>
      <x:top style="thin">
        <x:color rgb="FFCBD5E1"/>
      </x:top>
      <x:bottom style="thin">
        <x:color rgb="FFCBD5E1"/>
      </x:bottom>
    </x:border>
    <x:border>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3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10"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10"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0" fontId="4" fillId="0" borderId="2" xfId="0" applyNumberFormat="1" applyFont="1" applyFill="1" applyBorder="1" applyAlignment="1">
      <x:alignment horizontal="center" vertical="top" wrapText="1"/>
    </x:xf>
    <x:xf numFmtId="0" fontId="4" fillId="0" borderId="5" xfId="0" applyNumberFormat="1" applyFont="1" applyFill="1" applyBorder="1" applyAlignment="1">
      <x:alignment horizontal="center" vertical="top" wrapText="1"/>
    </x:xf>
    <x:xf numFmtId="0" fontId="4" fillId="0" borderId="8" xfId="0" applyNumberFormat="1" applyFont="1" applyFill="1" applyBorder="1" applyAlignment="1">
      <x:alignment horizontal="center" vertical="top" wrapText="1"/>
    </x:xf>
    <x:xf numFmtId="0" fontId="4" fillId="0" borderId="3" xfId="0" applyNumberFormat="1" applyFont="1" applyFill="1" applyBorder="1" applyAlignment="1">
      <x:alignment horizontal="center" vertical="top" wrapText="1"/>
    </x:xf>
    <x:xf numFmtId="0" fontId="4" fillId="0" borderId="6" xfId="0" applyNumberFormat="1" applyFont="1" applyFill="1" applyBorder="1" applyAlignment="1">
      <x:alignment horizontal="center" vertical="top" wrapText="1"/>
    </x:xf>
    <x:xf numFmtId="0" fontId="4" fillId="0" borderId="9" xfId="0" applyNumberFormat="1" applyFont="1" applyFill="1" applyBorder="1" applyAlignment="1">
      <x:alignment horizontal="center" vertical="top" wrapText="1"/>
    </x:xf>
    <x:xf numFmtId="0" fontId="5" fillId="0" borderId="4"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6" fillId="2" borderId="0" xfId="0" applyNumberFormat="1" applyFont="1" applyFill="1" applyBorder="1"/>
    <x:xf numFmtId="0" fontId="6" fillId="2" borderId="0" xfId="0" applyNumberFormat="1" applyFont="1" applyFill="1" applyBorder="1" applyAlignment="1">
      <x:alignment horizontal="left"/>
    </x:xf>
    <x:xf numFmtId="0" fontId="6" fillId="2" borderId="0" xfId="0" applyNumberFormat="1" applyFont="1" applyFill="1" applyBorder="1" applyAlignment="1">
      <x:alignment horizontal="left" vertical="center"/>
    </x:xf>
    <x:xf numFmtId="0" fontId="2" fillId="3" borderId="0" xfId="0" applyNumberFormat="1" applyFont="1" applyFill="1" applyBorder="1" applyAlignment="1">
      <x:alignment vertical="center"/>
    </x:xf>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horizontal="center"/>
    </x:xf>
    <x:xf numFmtId="0" fontId="7" fillId="5" borderId="0" xfId="0" applyNumberFormat="1" applyFont="1" applyFill="1" applyBorder="1" applyAlignment="1">
      <x:alignment horizontal="center" vertical="center"/>
    </x:xf>
    <x:xf numFmtId="0" fontId="0" fillId="6" borderId="0" xfId="0" applyNumberFormat="1" applyFont="1" applyFill="1" applyBorder="1"/>
    <x:xf numFmtId="0" fontId="8" fillId="6" borderId="0" xfId="0" applyNumberFormat="1" applyFont="1" applyFill="1" applyBorder="1"/>
    <x:xf numFmtId="0" fontId="8" fillId="6" borderId="11" xfId="0" applyNumberFormat="1" applyFont="1" applyFill="1" applyBorder="1"/>
    <x:xf numFmtId="0" fontId="8" fillId="6" borderId="12" xfId="0" applyNumberFormat="1" applyFont="1" applyFill="1" applyBorder="1"/>
    <x:xf numFmtId="0" fontId="8" fillId="6" borderId="13" xfId="0" applyNumberFormat="1" applyFont="1" applyFill="1" applyBorder="1"/>
    <x:xf numFmtId="0" fontId="8" fillId="6" borderId="11" xfId="0" applyNumberFormat="1" applyFont="1" applyFill="1" applyBorder="1" applyAlignment="1">
      <x:alignment horizontal="center"/>
    </x:xf>
    <x:xf numFmtId="0" fontId="8" fillId="6" borderId="12" xfId="0" applyNumberFormat="1" applyFont="1" applyFill="1" applyBorder="1" applyAlignment="1">
      <x:alignment horizontal="center"/>
    </x:xf>
    <x:xf numFmtId="0" fontId="8" fillId="6" borderId="13" xfId="0" applyNumberFormat="1" applyFont="1" applyFill="1" applyBorder="1" applyAlignment="1">
      <x:alignment horizontal="center"/>
    </x:xf>
    <x:xf numFmtId="200" fontId="8" fillId="6" borderId="12" xfId="0" applyNumberFormat="1" applyFont="1" applyFill="1" applyBorder="1" applyAlignment="1">
      <x:alignment horizontal="center"/>
    </x:xf>
    <x:xf numFmtId="0" fontId="9" fillId="4" borderId="0" xfId="0" applyNumberFormat="1" applyFont="1" applyFill="1" applyBorder="1"/>
    <x:xf numFmtId="0" fontId="9" fillId="4" borderId="0" xfId="0" applyNumberFormat="1" applyFont="1" applyFill="1" applyBorder="1" applyAlignment="1">
      <x:alignment horizontal="left"/>
    </x:xf>
    <x:xf numFmtId="0" fontId="0" fillId="7" borderId="0" xfId="0" applyNumberFormat="1" applyFont="1" applyFill="1" applyBorder="1"/>
    <x:xf numFmtId="0" fontId="10" fillId="7" borderId="0" xfId="0" applyNumberFormat="1" applyFont="1" applyFill="1" applyBorder="1"/>
    <x:xf numFmtId="0" fontId="10" fillId="7" borderId="1" xfId="0" applyNumberFormat="1" applyFont="1" applyFill="1" applyBorder="1"/>
    <x:xf numFmtId="0" fontId="10" fillId="7" borderId="1" xfId="0" applyNumberFormat="1" applyFont="1" applyFill="1" applyBorder="1" applyAlignment="1">
      <x:alignment wrapText="1"/>
    </x:xf>
    <x:xf numFmtId="0" fontId="10" fillId="7" borderId="1" xfId="0" applyNumberFormat="1" applyFont="1" applyFill="1" applyBorder="1" applyAlignment="1">
      <x:alignment horizontal="center" wrapText="1"/>
    </x:xf>
    <x:xf numFmtId="0" fontId="10" fillId="7" borderId="1" xfId="0" applyNumberFormat="1" applyFont="1" applyFill="1" applyBorder="1" applyAlignment="1">
      <x:alignment horizontal="center" vertical="center" wrapText="1"/>
    </x:xf>
    <x:xf numFmtId="0" fontId="11" fillId="0" borderId="0" xfId="0" applyNumberFormat="1" applyFont="1" applyFill="1" applyBorder="1"/>
    <x:xf numFmtId="0" fontId="11" fillId="0" borderId="2" xfId="0" applyNumberFormat="1" applyFont="1" applyFill="1" applyBorder="1"/>
    <x:xf numFmtId="0" fontId="11" fillId="0" borderId="3" xfId="0" applyNumberFormat="1" applyFont="1" applyFill="1" applyBorder="1"/>
    <x:xf numFmtId="0" fontId="11" fillId="0" borderId="4" xfId="0" applyNumberFormat="1" applyFont="1" applyFill="1" applyBorder="1"/>
    <x:xf numFmtId="0" fontId="11" fillId="0" borderId="5" xfId="0" applyNumberFormat="1" applyFont="1" applyFill="1" applyBorder="1"/>
    <x:xf numFmtId="0" fontId="11" fillId="0" borderId="6" xfId="0" applyNumberFormat="1" applyFont="1" applyFill="1" applyBorder="1"/>
    <x:xf numFmtId="0" fontId="11" fillId="0" borderId="7" xfId="0" applyNumberFormat="1" applyFont="1" applyFill="1" applyBorder="1"/>
    <x:xf numFmtId="0" fontId="11" fillId="0" borderId="8" xfId="0" applyNumberFormat="1" applyFont="1" applyFill="1" applyBorder="1"/>
    <x:xf numFmtId="0" fontId="11" fillId="0" borderId="9" xfId="0" applyNumberFormat="1" applyFont="1" applyFill="1" applyBorder="1"/>
    <x:xf numFmtId="0" fontId="11" fillId="0" borderId="10" xfId="0" applyNumberFormat="1" applyFont="1" applyFill="1" applyBorder="1"/>
    <x:xf numFmtId="0" fontId="11" fillId="0" borderId="2" xfId="0" applyNumberFormat="1" applyFont="1" applyFill="1" applyBorder="1" applyAlignment="1">
      <x:alignment wrapText="1"/>
    </x:xf>
    <x:xf numFmtId="0" fontId="11" fillId="0" borderId="3" xfId="0" applyNumberFormat="1" applyFont="1" applyFill="1" applyBorder="1" applyAlignment="1">
      <x:alignment wrapText="1"/>
    </x:xf>
    <x:xf numFmtId="0" fontId="11" fillId="0" borderId="4" xfId="0" applyNumberFormat="1" applyFont="1" applyFill="1" applyBorder="1" applyAlignment="1">
      <x:alignment wrapText="1"/>
    </x:xf>
    <x:xf numFmtId="0" fontId="11" fillId="0" borderId="5" xfId="0" applyNumberFormat="1" applyFont="1" applyFill="1" applyBorder="1" applyAlignment="1">
      <x:alignment wrapText="1"/>
    </x:xf>
    <x:xf numFmtId="0" fontId="11" fillId="0" borderId="6" xfId="0" applyNumberFormat="1" applyFont="1" applyFill="1" applyBorder="1" applyAlignment="1">
      <x:alignment wrapText="1"/>
    </x:xf>
    <x:xf numFmtId="0" fontId="11" fillId="0" borderId="7" xfId="0" applyNumberFormat="1" applyFont="1" applyFill="1" applyBorder="1" applyAlignment="1">
      <x:alignment wrapText="1"/>
    </x:xf>
    <x:xf numFmtId="0" fontId="11" fillId="0" borderId="8" xfId="0" applyNumberFormat="1" applyFont="1" applyFill="1" applyBorder="1" applyAlignment="1">
      <x:alignment wrapText="1"/>
    </x:xf>
    <x:xf numFmtId="0" fontId="11" fillId="0" borderId="9" xfId="0" applyNumberFormat="1" applyFont="1" applyFill="1" applyBorder="1" applyAlignment="1">
      <x:alignment wrapText="1"/>
    </x:xf>
    <x:xf numFmtId="0" fontId="11" fillId="0" borderId="10" xfId="0" applyNumberFormat="1" applyFont="1" applyFill="1" applyBorder="1" applyAlignment="1">
      <x:alignment wrapText="1"/>
    </x:xf>
    <x:xf numFmtId="0" fontId="11" fillId="0" borderId="2" xfId="0" applyNumberFormat="1" applyFont="1" applyFill="1" applyBorder="1" applyAlignment="1">
      <x:alignment vertical="top" wrapText="1"/>
    </x:xf>
    <x:xf numFmtId="0" fontId="11" fillId="0" borderId="3" xfId="0" applyNumberFormat="1" applyFont="1" applyFill="1" applyBorder="1" applyAlignment="1">
      <x:alignment vertical="top" wrapText="1"/>
    </x:xf>
    <x:xf numFmtId="0" fontId="11" fillId="0" borderId="4" xfId="0" applyNumberFormat="1" applyFont="1" applyFill="1" applyBorder="1" applyAlignment="1">
      <x:alignment vertical="top" wrapText="1"/>
    </x:xf>
    <x:xf numFmtId="0" fontId="11" fillId="0" borderId="5" xfId="0" applyNumberFormat="1" applyFont="1" applyFill="1" applyBorder="1" applyAlignment="1">
      <x:alignment vertical="top" wrapText="1"/>
    </x:xf>
    <x:xf numFmtId="0" fontId="11" fillId="0" borderId="6" xfId="0" applyNumberFormat="1" applyFont="1" applyFill="1" applyBorder="1" applyAlignment="1">
      <x:alignment vertical="top" wrapText="1"/>
    </x:xf>
    <x:xf numFmtId="0" fontId="11" fillId="0" borderId="7" xfId="0" applyNumberFormat="1" applyFont="1" applyFill="1" applyBorder="1" applyAlignment="1">
      <x:alignment vertical="top" wrapText="1"/>
    </x:xf>
    <x:xf numFmtId="0" fontId="11" fillId="0" borderId="8" xfId="0" applyNumberFormat="1" applyFont="1" applyFill="1" applyBorder="1" applyAlignment="1">
      <x:alignment vertical="top" wrapText="1"/>
    </x:xf>
    <x:xf numFmtId="0" fontId="11" fillId="0" borderId="9" xfId="0" applyNumberFormat="1" applyFont="1" applyFill="1" applyBorder="1" applyAlignment="1">
      <x:alignment vertical="top" wrapText="1"/>
    </x:xf>
    <x:xf numFmtId="0" fontId="11" fillId="0" borderId="10" xfId="0" applyNumberFormat="1" applyFont="1" applyFill="1" applyBorder="1" applyAlignment="1">
      <x:alignment vertical="top" wrapText="1"/>
    </x:xf>
    <x:xf numFmtId="0" fontId="11" fillId="0" borderId="2" xfId="0" applyNumberFormat="1" applyFont="1" applyFill="1" applyBorder="1" applyAlignment="1">
      <x:alignment horizontal="center" vertical="top" wrapText="1"/>
    </x:xf>
    <x:xf numFmtId="0" fontId="11" fillId="0" borderId="5" xfId="0" applyNumberFormat="1" applyFont="1" applyFill="1" applyBorder="1" applyAlignment="1">
      <x:alignment horizontal="center" vertical="top" wrapText="1"/>
    </x:xf>
    <x:xf numFmtId="0" fontId="11" fillId="0" borderId="8" xfId="0" applyNumberFormat="1" applyFont="1" applyFill="1" applyBorder="1" applyAlignment="1">
      <x:alignment horizontal="center" vertical="top" wrapText="1"/>
    </x:xf>
    <x:xf numFmtId="0" fontId="11" fillId="0" borderId="3" xfId="0" applyNumberFormat="1" applyFont="1" applyFill="1" applyBorder="1" applyAlignment="1">
      <x:alignment horizontal="center" vertical="top" wrapText="1"/>
    </x:xf>
    <x:xf numFmtId="0" fontId="11" fillId="0" borderId="6" xfId="0" applyNumberFormat="1" applyFont="1" applyFill="1" applyBorder="1" applyAlignment="1">
      <x:alignment horizontal="center" vertical="top" wrapText="1"/>
    </x:xf>
    <x:xf numFmtId="0" fontId="11" fillId="0" borderId="9" xfId="0" applyNumberFormat="1" applyFont="1" applyFill="1" applyBorder="1" applyAlignment="1">
      <x:alignment horizontal="center" vertical="top" wrapText="1"/>
    </x:xf>
    <x:xf numFmtId="200" fontId="11" fillId="0" borderId="3" xfId="0" applyNumberFormat="1" applyFont="1" applyFill="1" applyBorder="1" applyAlignment="1">
      <x:alignment horizontal="center" vertical="top" wrapText="1"/>
    </x:xf>
    <x:xf numFmtId="200" fontId="11" fillId="0" borderId="6" xfId="0" applyNumberFormat="1" applyFont="1" applyFill="1" applyBorder="1" applyAlignment="1">
      <x:alignment horizontal="center" vertical="top" wrapText="1"/>
    </x:xf>
    <x:xf numFmtId="200" fontId="11" fillId="0" borderId="9" xfId="0" applyNumberFormat="1" applyFont="1" applyFill="1" applyBorder="1" applyAlignment="1">
      <x:alignment horizontal="center" vertical="top" wrapText="1"/>
    </x:xf>
    <x:xf numFmtId="0" fontId="11" fillId="8" borderId="3" xfId="0" applyNumberFormat="1" applyFont="1" applyFill="1" applyBorder="1" applyAlignment="1">
      <x:alignment vertical="top" wrapText="1"/>
    </x:xf>
    <x:xf numFmtId="0" fontId="11" fillId="8" borderId="6" xfId="0" applyNumberFormat="1" applyFont="1" applyFill="1" applyBorder="1" applyAlignment="1">
      <x:alignment vertical="top" wrapText="1"/>
    </x:xf>
    <x:xf numFmtId="0" fontId="12" fillId="8" borderId="3" xfId="0" applyNumberFormat="1" applyFont="1" applyFill="1" applyBorder="1" applyAlignment="1">
      <x:alignment vertical="top" wrapText="1"/>
    </x:xf>
    <x:xf numFmtId="0" fontId="12" fillId="8" borderId="6" xfId="0" applyNumberFormat="1" applyFont="1" applyFill="1" applyBorder="1" applyAlignment="1">
      <x:alignment vertical="top" wrapText="1"/>
    </x:xf>
    <x:xf numFmtId="0" fontId="11" fillId="9" borderId="6" xfId="0" applyNumberFormat="1" applyFont="1" applyFill="1" applyBorder="1" applyAlignment="1">
      <x:alignment vertical="top" wrapText="1"/>
    </x:xf>
    <x:xf numFmtId="0" fontId="13" fillId="9" borderId="6" xfId="0" applyNumberFormat="1" applyFont="1" applyFill="1" applyBorder="1" applyAlignment="1">
      <x:alignment vertical="top" wrapText="1"/>
    </x:xf>
    <x:xf numFmtId="0" fontId="11" fillId="9" borderId="9" xfId="0" applyNumberFormat="1" applyFont="1" applyFill="1" applyBorder="1" applyAlignment="1">
      <x:alignment vertical="top" wrapText="1"/>
    </x:xf>
    <x:xf numFmtId="0" fontId="13" fillId="9" borderId="9" xfId="0" applyNumberFormat="1" applyFont="1" applyFill="1" applyBorder="1" applyAlignment="1">
      <x:alignment vertical="top" wrapText="1"/>
    </x:xf>
    <x:xf numFmtId="0" fontId="14" fillId="5" borderId="0" xfId="0" applyNumberFormat="1" applyFont="1" applyFill="1" applyBorder="1"/>
    <x:xf numFmtId="0" fontId="14" fillId="5" borderId="0" xfId="0" applyNumberFormat="1" applyFont="1" applyFill="1" applyBorder="1" applyAlignment="1">
      <x:alignment wrapText="1"/>
    </x:xf>
    <x:xf numFmtId="0" fontId="14" fillId="5" borderId="0" xfId="0" applyNumberFormat="1" applyFont="1" applyFill="1" applyBorder="1" applyAlignment="1">
      <x:alignment vertical="center" wrapText="1"/>
    </x:xf>
    <x:xf numFmtId="0" fontId="15" fillId="4" borderId="0" xfId="0" applyNumberFormat="1" applyFont="1" applyFill="1" applyBorder="1"/>
    <x:xf numFmtId="0" fontId="15" fillId="4" borderId="1" xfId="0" applyNumberFormat="1" applyFont="1" applyFill="1" applyBorder="1"/>
    <x:xf numFmtId="0" fontId="15" fillId="4" borderId="1" xfId="0" applyNumberFormat="1" applyFont="1" applyFill="1" applyBorder="1" applyAlignment="1">
      <x:alignment horizontal="center"/>
    </x:xf>
    <x:xf numFmtId="0" fontId="2" fillId="3" borderId="0" xfId="0" applyNumberFormat="1" applyFont="1" applyFill="1" applyBorder="1" applyAlignment="1">
      <x:alignment vertical="center" wrapText="1"/>
    </x:xf>
    <x:xf numFmtId="0" fontId="16" fillId="0" borderId="2" xfId="0" applyNumberFormat="1" applyFont="1" applyFill="1" applyBorder="1" applyAlignment="1">
      <x:alignment vertical="top" wrapText="1"/>
    </x:xf>
    <x:xf numFmtId="0" fontId="16" fillId="0" borderId="5" xfId="0" applyNumberFormat="1" applyFont="1" applyFill="1" applyBorder="1" applyAlignment="1">
      <x:alignment vertical="top" wrapText="1"/>
    </x:xf>
    <x:xf numFmtId="0" fontId="16" fillId="0" borderId="8" xfId="0" applyNumberFormat="1" applyFont="1" applyFill="1" applyBorder="1" applyAlignment="1">
      <x:alignment vertical="top" wrapText="1"/>
    </x:xf>
  </x:cellXfs>
  <x:cellStyles count="1">
    <x:cellStyle name="Normal" xfId="0"/>
  </x:cellStyles>
  <x:dxfs count="11">
    <x:dxf>
      <x:font>
        <x:b/>
        <x:color rgb="FF1B5E20"/>
      </x:font>
      <x:fill>
        <x:patternFill>
          <x:bgColor rgb="FFE2F0D9"/>
        </x:patternFill>
      </x:fill>
    </x:dxf>
    <x:dxf>
      <x:font>
        <x:b/>
        <x:color rgb="FF1B5E20"/>
      </x:font>
      <x:fill>
        <x:patternFill>
          <x:bgColor rgb="FFE2F0D9"/>
        </x:patternFill>
      </x:fill>
    </x:dxf>
    <x:dxf>
      <x:font>
        <x:color rgb="FF9C0006"/>
      </x:font>
      <x:fill>
        <x:patternFill>
          <x:bgColor rgb="FFFCE4D6"/>
        </x:patternFill>
      </x:fill>
    </x:dxf>
    <x:dxf>
      <x:font>
        <x:color rgb="FF7F6000"/>
      </x:font>
      <x:fill>
        <x:patternFill>
          <x:bgColor rgb="FFFFF2CC"/>
        </x:patternFill>
      </x:fill>
    </x:dxf>
    <x:dxf>
      <x:font>
        <x:color rgb="FF9C0006"/>
      </x:font>
      <x:fill>
        <x:patternFill>
          <x:bgColor rgb="FFFCE4D6"/>
        </x:patternFill>
      </x:fill>
    </x:dxf>
    <x:dxf>
      <x:font>
        <x:b/>
        <x:color rgb="FF1B5E20"/>
      </x:font>
      <x:fill>
        <x:patternFill>
          <x:bgColor rgb="FFC6E0B4"/>
        </x:patternFill>
      </x:fill>
    </x:dxf>
    <x:dxf>
      <x:font>
        <x:b/>
        <x:color rgb="FF1B5E20"/>
      </x:font>
      <x:fill>
        <x:patternFill>
          <x:bgColor rgb="FFE2F0D9"/>
        </x:patternFill>
      </x:fill>
    </x:dxf>
    <x:dxf>
      <x:font>
        <x:b/>
        <x:color rgb="FF7F6000"/>
      </x:font>
      <x:fill>
        <x:patternFill>
          <x:bgColor rgb="FFFFF2CC"/>
        </x:patternFill>
      </x:fill>
    </x:dxf>
    <x:dxf>
      <x:font>
        <x:b/>
        <x:color rgb="FF1B5E20"/>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66001ed716745a4" /><Relationship Type="http://schemas.openxmlformats.org/officeDocument/2006/relationships/theme" Target="/xl/theme/theme1.xml" Id="R7f5ab27839674f07" /><Relationship Type="http://schemas.openxmlformats.org/officeDocument/2006/relationships/sharedStrings" Target="/xl/sharedStrings.xml" Id="R3e60b51565bc4900" /><Relationship Type="http://schemas.openxmlformats.org/officeDocument/2006/relationships/worksheet" Target="/xl/worksheets/sheet1.xml" Id="R03efb33c65534283" /><Relationship Type="http://schemas.openxmlformats.org/officeDocument/2006/relationships/worksheet" Target="/xl/worksheets/sheet2.xml" Id="R9bb8a75ac0014247" /><Relationship Type="http://schemas.openxmlformats.org/officeDocument/2006/relationships/worksheet" Target="/xl/worksheets/sheet3.xml" Id="R3e7ace90233543c1" /><Relationship Type="http://schemas.openxmlformats.org/officeDocument/2006/relationships/worksheet" Target="/xl/worksheets/sheet4.xml" Id="R353d1e1664fc4ba1" /><Relationship Type="http://schemas.openxmlformats.org/officeDocument/2006/relationships/worksheet" Target="/xl/worksheets/sheet5.xml" Id="R86861c606d804e4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29" hidden="0" customWidth="1"/>
    <x:col min="3" max="3" width="39" hidden="0" customWidth="1"/>
    <x:col min="4" max="4" width="22" hidden="0" customWidth="1"/>
    <x:col min="5" max="5" width="10" hidden="0" customWidth="1"/>
    <x:col min="6" max="6" width="20" hidden="0" customWidth="1"/>
    <x:col min="7" max="7" width="37" hidden="0" customWidth="1"/>
    <x:col min="8" max="8" width="16" hidden="0" customWidth="1"/>
    <x:col min="9" max="9" width="45" hidden="0" customWidth="1"/>
  </x:cols>
  <x:sheetData>
    <x:row r="1" ht="32" customHeight="1">
      <x:c r="A1" s="53" t="str">
        <x:v>SaaS Opportunity Research — Top Picks</x:v>
      </x:c>
      <x:c r="B1" s="53" t="str">
        <x:v>SaaS Opportunity Research — Top Picks</x:v>
      </x:c>
      <x:c r="C1" s="53" t="str">
        <x:v>SaaS Opportunity Research — Top Picks</x:v>
      </x:c>
      <x:c r="D1" s="53" t="str">
        <x:v>SaaS Opportunity Research — Top Picks</x:v>
      </x:c>
      <x:c r="E1" s="53" t="str">
        <x:v>SaaS Opportunity Research — Top Picks</x:v>
      </x:c>
      <x:c r="F1" s="53" t="str">
        <x:v>SaaS Opportunity Research — Top Picks</x:v>
      </x:c>
      <x:c r="G1" s="53" t="str">
        <x:v>SaaS Opportunity Research — Top Picks</x:v>
      </x:c>
      <x:c r="H1" s="53" t="str">
        <x:v>SaaS Opportunity Research — Top Picks</x:v>
      </x:c>
      <x:c r="I1" s="53" t="str">
        <x:v>SaaS Opportunity Research — Top Picks</x:v>
      </x:c>
    </x:row>
    <x:row r="2" ht="24" customHeight="1">
      <x:c r="A2" s="54" t="str">
        <x:v>A decision-focused shortlist from 15 forum-observed workflows, including marketing and agency communities. Prioritize customer interviews before building.</x:v>
      </x:c>
      <x:c r="B2" s="54" t="str">
        <x:v>A decision-focused shortlist from 15 forum-observed workflows, including marketing and agency communities. Prioritize customer interviews before building.</x:v>
      </x:c>
      <x:c r="C2" s="54" t="str">
        <x:v>A decision-focused shortlist from 15 forum-observed workflows, including marketing and agency communities. Prioritize customer interviews before building.</x:v>
      </x:c>
      <x:c r="D2" s="54" t="str">
        <x:v>A decision-focused shortlist from 15 forum-observed workflows, including marketing and agency communities. Prioritize customer interviews before building.</x:v>
      </x:c>
      <x:c r="E2" s="54" t="str">
        <x:v>A decision-focused shortlist from 15 forum-observed workflows, including marketing and agency communities. Prioritize customer interviews before building.</x:v>
      </x:c>
      <x:c r="F2" s="54" t="str">
        <x:v>A decision-focused shortlist from 15 forum-observed workflows, including marketing and agency communities. Prioritize customer interviews before building.</x:v>
      </x:c>
      <x:c r="G2" s="54" t="str">
        <x:v>A decision-focused shortlist from 15 forum-observed workflows, including marketing and agency communities. Prioritize customer interviews before building.</x:v>
      </x:c>
      <x:c r="H2" s="54" t="str">
        <x:v>A decision-focused shortlist from 15 forum-observed workflows, including marketing and agency communities. Prioritize customer interviews before building.</x:v>
      </x:c>
      <x:c r="I2" s="54" t="str">
        <x:v>A decision-focused shortlist from 15 forum-observed workflows, including marketing and agency communities. Prioritize customer interviews before building.</x:v>
      </x:c>
    </x:row>
    <x:row r="4" ht="26" customHeight="1">
      <x:c r="A4" s="58" t="str">
        <x:v>Opportunities scanned</x:v>
      </x:c>
      <x:c r="B4" s="58"/>
      <x:c r="C4" s="58" t="str">
        <x:v>Avg. score / 30</x:v>
      </x:c>
      <x:c r="D4" s="58"/>
      <x:c r="E4" s="58" t="str">
        <x:v>Top-3 scored ideas</x:v>
      </x:c>
      <x:c r="F4" s="58"/>
      <x:c r="G4" s="58" t="str">
        <x:v>Source links</x:v>
      </x:c>
      <x:c r="H4" s="58"/>
      <x:c r="I4" s="58"/>
    </x:row>
    <x:row r="5" ht="26" customHeight="1">
      <x:c r="A5" s="64" t="n">
        <x:f>COUNTA('Opportunity Matrix'!B6:B20)</x:f>
        <x:v>15</x:v>
      </x:c>
      <x:c r="B5" s="65"/>
      <x:c r="C5" s="67" t="n">
        <x:f>AVERAGE('Opportunity Matrix'!O6:O20)/30</x:f>
        <x:v>0.7333333333333333</x:v>
      </x:c>
      <x:c r="D5" s="65"/>
      <x:c r="E5" s="65" t="n">
        <x:f>COUNTIF('Opportunity Matrix'!A6:A20,"&lt;=3")</x:f>
        <x:v>3</x:v>
      </x:c>
      <x:c r="F5" s="65"/>
      <x:c r="G5" s="65" t="n">
        <x:f>COUNTA('Scoring Guide &amp; Sources'!E14:E36)</x:f>
        <x:v>23</x:v>
      </x:c>
      <x:c r="H5" s="65"/>
      <x:c r="I5" s="66"/>
    </x:row>
    <x:row r="7">
      <x:c r="A7" s="69" t="str">
        <x:v>Recommended starting points</x:v>
      </x:c>
      <x:c r="B7" s="69" t="str">
        <x:v>Recommended starting points</x:v>
      </x:c>
      <x:c r="C7" s="69" t="str">
        <x:v>Recommended starting points</x:v>
      </x:c>
      <x:c r="D7" s="69" t="str">
        <x:v>Recommended starting points</x:v>
      </x:c>
      <x:c r="E7" s="69" t="str">
        <x:v>Recommended starting points</x:v>
      </x:c>
      <x:c r="F7" s="69" t="str">
        <x:v>Recommended starting points</x:v>
      </x:c>
      <x:c r="G7" s="69" t="str">
        <x:v>Recommended starting points</x:v>
      </x:c>
      <x:c r="H7" s="69" t="str">
        <x:v>Recommended starting points</x:v>
      </x:c>
      <x:c r="I7" s="69" t="str">
        <x:v>Recommended starting points</x:v>
      </x:c>
    </x:row>
    <x:row r="8" ht="32" customHeight="1">
      <x:c r="A8" s="75" t="str">
        <x:v>Priority</x:v>
      </x:c>
      <x:c r="B8" s="75" t="str">
        <x:v>Opportunity</x:v>
      </x:c>
      <x:c r="C8" s="75" t="str">
        <x:v>Why it stands out</x:v>
      </x:c>
      <x:c r="D8" s="75" t="str">
        <x:v>Primary buyer</x:v>
      </x:c>
      <x:c r="E8" s="75" t="str">
        <x:v>Score / 30</x:v>
      </x:c>
      <x:c r="F8" s="75" t="str">
        <x:v>Suggested price test</x:v>
      </x:c>
      <x:c r="G8" s="75" t="str">
        <x:v>30-day validation</x:v>
      </x:c>
      <x:c r="H8" s="75" t="str">
        <x:v>Verdict</x:v>
      </x:c>
      <x:c r="I8" s="75" t="str">
        <x:v>Competitor snapshot</x:v>
      </x:c>
    </x:row>
    <x:row r="9" ht="58" customHeight="1">
      <x:c r="A9" s="104" t="n">
        <x:v>1</x:v>
      </x:c>
      <x:c r="B9" s="96" t="str">
        <x:v>Construction change-order capture &amp; approval</x:v>
      </x:c>
      <x:c r="C9" s="96" t="str">
        <x:v>High financial pain; clear trigger; willingness to pay tied to preventing revenue leakage.</x:v>
      </x:c>
      <x:c r="D9" s="96" t="str">
        <x:v>Owner / ops lead</x:v>
      </x:c>
      <x:c r="E9" s="110" t="n">
        <x:f>'Opportunity Matrix'!O6/30</x:f>
        <x:v>0.8666666666666667</x:v>
      </x:c>
      <x:c r="F9" s="96" t="str">
        <x:v>$49–149 / month + payments</x:v>
      </x:c>
      <x:c r="G9" s="96" t="str">
        <x:v>15 interviews; test a 60-second change-order flow with 3 crews.</x:v>
      </x:c>
      <x:c r="H9" s="115" t="str">
        <x:v>Build first</x:v>
      </x:c>
      <x:c r="I9" s="97" t="str">
        <x:f>'Opportunity Matrix'!P6</x:f>
        <x:v>Buildertrend, JobTread, Fieldwire — gap: sub-60-second, phone-first capture for small trade teams.</x:v>
      </x:c>
    </x:row>
    <x:row r="10" ht="58" customHeight="1">
      <x:c r="A10" s="105" t="n">
        <x:v>2</x:v>
      </x:c>
      <x:c r="B10" s="99" t="str">
        <x:v>Shopify supplier spreadsheet → PO importer</x:v>
      </x:c>
      <x:c r="C10" s="99" t="str">
        <x:v>Specific workflow break with a simple, testable wedge and a reachable app-store audience.</x:v>
      </x:c>
      <x:c r="D10" s="99" t="str">
        <x:v>Founder / inventory buyer</x:v>
      </x:c>
      <x:c r="E10" s="111" t="n">
        <x:f>'Opportunity Matrix'!O7/30</x:f>
        <x:v>0.8333333333333334</x:v>
      </x:c>
      <x:c r="F10" s="99" t="str">
        <x:v>$29–99 / month</x:v>
      </x:c>
      <x:c r="G10" s="99" t="str">
        <x:v>Recruit 10 merchants; process real supplier files; measure time saved and match rate.</x:v>
      </x:c>
      <x:c r="H10" s="116" t="str">
        <x:v>Build first</x:v>
      </x:c>
      <x:c r="I10" s="100" t="str">
        <x:f>'Opportunity Matrix'!P7</x:f>
        <x:v>Inventory Planner, Cogsy, Katana — gap: supplier-file import and receiving reliability, not full planning.</x:v>
      </x:c>
    </x:row>
    <x:row r="11" ht="58" customHeight="1">
      <x:c r="A11" s="105" t="n">
        <x:v>2</x:v>
      </x:c>
      <x:c r="B11" s="99" t="str">
        <x:v>Campaign UTM governance &amp; attribution QA</x:v>
      </x:c>
      <x:c r="C11" s="99" t="str">
        <x:v>Recurring marketing-data pain; strong buyer reachability through agencies, HubSpot partners, and paid-media teams.</x:v>
      </x:c>
      <x:c r="D11" s="99" t="str">
        <x:v>Growth / RevOps lead</x:v>
      </x:c>
      <x:c r="E11" s="111" t="n">
        <x:f>'Opportunity Matrix'!O17/30</x:f>
        <x:v>0.8333333333333334</x:v>
      </x:c>
      <x:c r="F11" s="99" t="str">
        <x:v>$49–199 / month per agency</x:v>
      </x:c>
      <x:c r="G11" s="99" t="str">
        <x:v>Interview 15 agency/RevOps leads; audit 10 real campaign URLs and test the QA report.</x:v>
      </x:c>
      <x:c r="H11" s="118" t="str">
        <x:v>Validate first</x:v>
      </x:c>
      <x:c r="I11" s="100" t="str">
        <x:f>'Opportunity Matrix'!P17</x:f>
        <x:v>UTM.io, CampaignTrackly, HubSpot tracking URLs — gap: cross-platform attribution QA for agencies.</x:v>
      </x:c>
    </x:row>
    <x:row r="12" ht="58" customHeight="1">
      <x:c r="A12" s="105" t="n">
        <x:v>4</x:v>
      </x:c>
      <x:c r="B12" s="99" t="str">
        <x:v>Maintenance coordination for small rental portfolios</x:v>
      </x:c>
      <x:c r="C12" s="99" t="str">
        <x:v>Repeated pain below enterprise PMS thresholds; buyers want a simple workflow, not a suite.</x:v>
      </x:c>
      <x:c r="D12" s="99" t="str">
        <x:v>Self-managing landlord</x:v>
      </x:c>
      <x:c r="E12" s="111" t="n">
        <x:f>'Opportunity Matrix'!O8/30</x:f>
        <x:v>0.8</x:v>
      </x:c>
      <x:c r="F12" s="99" t="str">
        <x:v>$29–79 / month flat</x:v>
      </x:c>
      <x:c r="G12" s="99" t="str">
        <x:v>15 interviews at 5–50 doors; manually concierge-dispatch to prove response-time value.</x:v>
      </x:c>
      <x:c r="H12" s="116" t="str">
        <x:v>Build first</x:v>
      </x:c>
      <x:c r="I12" s="100" t="str">
        <x:f>'Opportunity Matrix'!P8</x:f>
        <x:v>Buildium, DoorLoop, Property Meld — gap: simple 5–80 door coordination without a full PMS.</x:v>
      </x:c>
    </x:row>
    <x:row r="13" ht="58" customHeight="1">
      <x:c r="A13" s="105" t="n">
        <x:v>5</x:v>
      </x:c>
      <x:c r="B13" s="99" t="str">
        <x:v>Client approval chase &amp; launch-risk control</x:v>
      </x:c>
      <x:c r="C13" s="99" t="str">
        <x:v>Approval delays directly extend projects and cause overage friction; agencies are reachable in dedicated communities.</x:v>
      </x:c>
      <x:c r="D13" s="99" t="str">
        <x:v>Agency owner / account lead</x:v>
      </x:c>
      <x:c r="E13" s="111" t="n">
        <x:f>'Opportunity Matrix'!O18/30</x:f>
        <x:v>0.7666666666666667</x:v>
      </x:c>
      <x:c r="F13" s="99" t="str">
        <x:v>$49–149 / month per agency</x:v>
      </x:c>
      <x:c r="G13" s="99" t="str">
        <x:v>Shadow 10 approval cycles; test deadline escalation and a client-visible launch-risk page.</x:v>
      </x:c>
      <x:c r="H13" s="118" t="str">
        <x:v>Validate first</x:v>
      </x:c>
      <x:c r="I13" s="100" t="str">
        <x:f>'Opportunity Matrix'!P18</x:f>
        <x:v>Filestage, Ziflow, Frame.io — gap: client chasing, deadline escalation, and overage evidence.</x:v>
      </x:c>
    </x:row>
    <x:row r="14" ht="58" customHeight="1">
      <x:c r="A14" s="106" t="n">
        <x:v>5</x:v>
      </x:c>
      <x:c r="B14" s="102" t="str">
        <x:v>Agency recurring website-maintenance control tower</x:v>
      </x:c>
      <x:c r="C14" s="102" t="str">
        <x:v>Recurring retainer work is fragmented across a 'tool zoo'; renewal misses and proof-of-work create tangible client risk.</x:v>
      </x:c>
      <x:c r="D14" s="102" t="str">
        <x:v>Agency owner / operations lead</x:v>
      </x:c>
      <x:c r="E14" s="112" t="n">
        <x:f>'Opportunity Matrix'!O20/30</x:f>
        <x:v>0.7666666666666667</x:v>
      </x:c>
      <x:c r="F14" s="102" t="str">
        <x:v>$79–249 / month per agency</x:v>
      </x:c>
      <x:c r="G14" s="102" t="str">
        <x:v>Recruit 10 web agencies; concierge their renewal checklist and measure missed-work/renewal prevention.</x:v>
      </x:c>
      <x:c r="H14" s="120" t="str">
        <x:v>Validate first</x:v>
      </x:c>
      <x:c r="I14" s="103" t="str">
        <x:f>'Opportunity Matrix'!P20</x:f>
        <x:v>ManageWP, MainWP, Atarim — gap: renewal risk, proof of work, and recurring delivery control.</x:v>
      </x:c>
    </x:row>
    <x:row r="16" ht="30" customHeight="1">
      <x:c r="A16" s="123" t="str">
        <x:v>How to read this: build first = a narrow, validated wedge is plausible; validate first = discovery or API feasibility must de-risk the workflow; niche only = only proceed with a distinctive segment or integration advantage.</x:v>
      </x:c>
      <x:c r="B16" s="123" t="str">
        <x:v>How to read this: build first = a narrow, validated wedge is plausible; validate first = discovery or API feasibility must de-risk the workflow; niche only = only proceed with a distinctive segment or integration advantage.</x:v>
      </x:c>
      <x:c r="C16" s="123" t="str">
        <x:v>How to read this: build first = a narrow, validated wedge is plausible; validate first = discovery or API feasibility must de-risk the workflow; niche only = only proceed with a distinctive segment or integration advantage.</x:v>
      </x:c>
      <x:c r="D16" s="123" t="str">
        <x:v>How to read this: build first = a narrow, validated wedge is plausible; validate first = discovery or API feasibility must de-risk the workflow; niche only = only proceed with a distinctive segment or integration advantage.</x:v>
      </x:c>
      <x:c r="E16" s="123" t="str">
        <x:v>How to read this: build first = a narrow, validated wedge is plausible; validate first = discovery or API feasibility must de-risk the workflow; niche only = only proceed with a distinctive segment or integration advantage.</x:v>
      </x:c>
      <x:c r="F16" s="123" t="str">
        <x:v>How to read this: build first = a narrow, validated wedge is plausible; validate first = discovery or API feasibility must de-risk the workflow; niche only = only proceed with a distinctive segment or integration advantage.</x:v>
      </x:c>
      <x:c r="G16" s="123" t="str">
        <x:v>How to read this: build first = a narrow, validated wedge is plausible; validate first = discovery or API feasibility must de-risk the workflow; niche only = only proceed with a distinctive segment or integration advantage.</x:v>
      </x:c>
      <x:c r="H16" s="123" t="str">
        <x:v>How to read this: build first = a narrow, validated wedge is plausible; validate first = discovery or API feasibility must de-risk the workflow; niche only = only proceed with a distinctive segment or integration advantage.</x:v>
      </x:c>
      <x:c r="I16" s="123" t="str">
        <x:v>How to read this: build first = a narrow, validated wedge is plausible; validate first = discovery or API feasibility must de-risk the workflow; niche only = only proceed with a distinctive segment or integration advantage.</x:v>
      </x:c>
    </x:row>
  </x:sheetData>
  <x:mergeCells>
    <x:mergeCell ref="A1:I1"/>
    <x:mergeCell ref="A2:I2"/>
    <x:mergeCell ref="A4:B4"/>
    <x:mergeCell ref="C4:D4"/>
    <x:mergeCell ref="E4:F4"/>
    <x:mergeCell ref="G4:I4"/>
    <x:mergeCell ref="A5:B5"/>
    <x:mergeCell ref="C5:D5"/>
    <x:mergeCell ref="E5:F5"/>
    <x:mergeCell ref="G5:I5"/>
    <x:mergeCell ref="A7:I7"/>
    <x:mergeCell ref="A16:I1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26" hidden="0" customWidth="1"/>
    <x:col min="3" max="3" width="24" hidden="0" customWidth="1"/>
    <x:col min="4" max="4" width="31" hidden="0" customWidth="1"/>
    <x:col min="5" max="5" width="34" hidden="0" customWidth="1"/>
    <x:col min="6" max="6" width="40" hidden="0" customWidth="1"/>
    <x:col min="7" max="7" width="36" hidden="0" customWidth="1"/>
    <x:col min="8" max="8" width="36" hidden="0" customWidth="1"/>
    <x:col min="9" max="9" width="10" hidden="0" customWidth="1"/>
    <x:col min="10" max="10" width="11" hidden="0" customWidth="1"/>
    <x:col min="11" max="11" width="12" hidden="0" customWidth="1"/>
    <x:col min="12" max="12" width="13" hidden="0" customWidth="1"/>
    <x:col min="13" max="13" width="12" hidden="0" customWidth="1"/>
    <x:col min="14" max="14" width="12" hidden="0" customWidth="1"/>
    <x:col min="15" max="15" width="11" hidden="0" customWidth="1"/>
    <x:col min="16" max="16" width="43" hidden="0" customWidth="1"/>
    <x:col min="17" max="17" width="43" hidden="0" customWidth="1"/>
  </x:cols>
  <x:sheetData>
    <x:row r="1" ht="30" customHeight="1">
      <x:c r="A1" s="4" t="str">
        <x:v>Forum-Sourced SaaS Opportunity Matrix</x:v>
      </x:c>
      <x:c r="B1" s="4" t="str">
        <x:v>Forum-Sourced SaaS Opportunity Matrix</x:v>
      </x:c>
      <x:c r="C1" s="4" t="str">
        <x:v>Forum-Sourced SaaS Opportunity Matrix</x:v>
      </x:c>
      <x:c r="D1" s="4" t="str">
        <x:v>Forum-Sourced SaaS Opportunity Matrix</x:v>
      </x:c>
      <x:c r="E1" s="4" t="str">
        <x:v>Forum-Sourced SaaS Opportunity Matrix</x:v>
      </x:c>
      <x:c r="F1" s="4" t="str">
        <x:v>Forum-Sourced SaaS Opportunity Matrix</x:v>
      </x:c>
      <x:c r="G1" s="4" t="str">
        <x:v>Forum-Sourced SaaS Opportunity Matrix</x:v>
      </x:c>
      <x:c r="H1" s="4" t="str">
        <x:v>Forum-Sourced SaaS Opportunity Matrix</x:v>
      </x:c>
      <x:c r="I1" s="4" t="str">
        <x:v>Forum-Sourced SaaS Opportunity Matrix</x:v>
      </x:c>
      <x:c r="J1" s="4" t="str">
        <x:v>Forum-Sourced SaaS Opportunity Matrix</x:v>
      </x:c>
      <x:c r="K1" s="4" t="str">
        <x:v>Forum-Sourced SaaS Opportunity Matrix</x:v>
      </x:c>
      <x:c r="L1" s="4" t="str">
        <x:v>Forum-Sourced SaaS Opportunity Matrix</x:v>
      </x:c>
      <x:c r="M1" s="4" t="str">
        <x:v>Forum-Sourced SaaS Opportunity Matrix</x:v>
      </x:c>
      <x:c r="N1" s="4" t="str">
        <x:v>Forum-Sourced SaaS Opportunity Matrix</x:v>
      </x:c>
      <x:c r="O1" s="4" t="str">
        <x:v>Forum-Sourced SaaS Opportunity Matrix</x:v>
      </x:c>
      <x:c r="P1" s="4" t="str">
        <x:v>Forum-Sourced SaaS Opportunity Matrix</x:v>
      </x:c>
      <x:c r="Q1" s="4" t="str">
        <x:v>Forum-Sourced SaaS Opportunity Matrix</x:v>
      </x:c>
    </x:row>
    <x:row r="2" ht="32" customHeight="1">
      <x:c r="A2" s="7" t="str">
        <x:v>Qualitative discovery scan — Reddit, BiggerPockets, Shopify Community, HubSpot Community, and Warrior Forum. Scores are directional hypotheses, not market-size estimates. Research completed 2026-07-13.</x:v>
      </x:c>
      <x:c r="B2" s="7" t="str">
        <x:v>Qualitative discovery scan — Reddit, BiggerPockets, Shopify Community, HubSpot Community, and Warrior Forum. Scores are directional hypotheses, not market-size estimates. Research completed 2026-07-13.</x:v>
      </x:c>
      <x:c r="C2" s="7" t="str">
        <x:v>Qualitative discovery scan — Reddit, BiggerPockets, Shopify Community, HubSpot Community, and Warrior Forum. Scores are directional hypotheses, not market-size estimates. Research completed 2026-07-13.</x:v>
      </x:c>
      <x:c r="D2" s="7" t="str">
        <x:v>Qualitative discovery scan — Reddit, BiggerPockets, Shopify Community, HubSpot Community, and Warrior Forum. Scores are directional hypotheses, not market-size estimates. Research completed 2026-07-13.</x:v>
      </x:c>
      <x:c r="E2" s="7" t="str">
        <x:v>Qualitative discovery scan — Reddit, BiggerPockets, Shopify Community, HubSpot Community, and Warrior Forum. Scores are directional hypotheses, not market-size estimates. Research completed 2026-07-13.</x:v>
      </x:c>
      <x:c r="F2" s="7" t="str">
        <x:v>Qualitative discovery scan — Reddit, BiggerPockets, Shopify Community, HubSpot Community, and Warrior Forum. Scores are directional hypotheses, not market-size estimates. Research completed 2026-07-13.</x:v>
      </x:c>
      <x:c r="G2" s="7" t="str">
        <x:v>Qualitative discovery scan — Reddit, BiggerPockets, Shopify Community, HubSpot Community, and Warrior Forum. Scores are directional hypotheses, not market-size estimates. Research completed 2026-07-13.</x:v>
      </x:c>
      <x:c r="H2" s="7" t="str">
        <x:v>Qualitative discovery scan — Reddit, BiggerPockets, Shopify Community, HubSpot Community, and Warrior Forum. Scores are directional hypotheses, not market-size estimates. Research completed 2026-07-13.</x:v>
      </x:c>
      <x:c r="I2" s="7" t="str">
        <x:v>Qualitative discovery scan — Reddit, BiggerPockets, Shopify Community, HubSpot Community, and Warrior Forum. Scores are directional hypotheses, not market-size estimates. Research completed 2026-07-13.</x:v>
      </x:c>
      <x:c r="J2" s="7" t="str">
        <x:v>Qualitative discovery scan — Reddit, BiggerPockets, Shopify Community, HubSpot Community, and Warrior Forum. Scores are directional hypotheses, not market-size estimates. Research completed 2026-07-13.</x:v>
      </x:c>
      <x:c r="K2" s="7" t="str">
        <x:v>Qualitative discovery scan — Reddit, BiggerPockets, Shopify Community, HubSpot Community, and Warrior Forum. Scores are directional hypotheses, not market-size estimates. Research completed 2026-07-13.</x:v>
      </x:c>
      <x:c r="L2" s="7" t="str">
        <x:v>Qualitative discovery scan — Reddit, BiggerPockets, Shopify Community, HubSpot Community, and Warrior Forum. Scores are directional hypotheses, not market-size estimates. Research completed 2026-07-13.</x:v>
      </x:c>
      <x:c r="M2" s="7" t="str">
        <x:v>Qualitative discovery scan — Reddit, BiggerPockets, Shopify Community, HubSpot Community, and Warrior Forum. Scores are directional hypotheses, not market-size estimates. Research completed 2026-07-13.</x:v>
      </x:c>
      <x:c r="N2" s="7" t="str">
        <x:v>Qualitative discovery scan — Reddit, BiggerPockets, Shopify Community, HubSpot Community, and Warrior Forum. Scores are directional hypotheses, not market-size estimates. Research completed 2026-07-13.</x:v>
      </x:c>
      <x:c r="O2" s="7" t="str">
        <x:v>Qualitative discovery scan — Reddit, BiggerPockets, Shopify Community, HubSpot Community, and Warrior Forum. Scores are directional hypotheses, not market-size estimates. Research completed 2026-07-13.</x:v>
      </x:c>
      <x:c r="P2" s="7" t="str">
        <x:v>Qualitative discovery scan — Reddit, BiggerPockets, Shopify Community, HubSpot Community, and Warrior Forum. Scores are directional hypotheses, not market-size estimates. Research completed 2026-07-13.</x:v>
      </x:c>
      <x:c r="Q2" s="7" t="str">
        <x:v>Qualitative discovery scan — Reddit, BiggerPockets, Shopify Community, HubSpot Community, and Warrior Forum. Scores are directional hypotheses, not market-size estimates. Research completed 2026-07-13.</x:v>
      </x:c>
    </x:row>
    <x:row r="5" ht="40" customHeight="1">
      <x:c r="A5" s="13" t="str">
        <x:v>Rank</x:v>
      </x:c>
      <x:c r="B5" s="13" t="str">
        <x:v>SaaS opportunity</x:v>
      </x:c>
      <x:c r="C5" s="13" t="str">
        <x:v>Ideal customer</x:v>
      </x:c>
      <x:c r="D5" s="13" t="str">
        <x:v>User pain point</x:v>
      </x:c>
      <x:c r="E5" s="13" t="str">
        <x:v>MVP wedge</x:v>
      </x:c>
      <x:c r="F5" s="13" t="str">
        <x:v>Forum evidence (paraphrased)</x:v>
      </x:c>
      <x:c r="G5" s="13" t="str">
        <x:v>Source 1</x:v>
      </x:c>
      <x:c r="H5" s="13" t="str">
        <x:v>Source 2</x:v>
      </x:c>
      <x:c r="I5" s="13" t="str">
        <x:v>Frequency</x:v>
      </x:c>
      <x:c r="J5" s="13" t="str">
        <x:v>Financial impact</x:v>
      </x:c>
      <x:c r="K5" s="13" t="str">
        <x:v>Willingness to pay</x:v>
      </x:c>
      <x:c r="L5" s="13" t="str">
        <x:v>Buyer reachability</x:v>
      </x:c>
      <x:c r="M5" s="13" t="str">
        <x:v>Competition gap</x:v>
      </x:c>
      <x:c r="N5" s="13" t="str">
        <x:v>Build simplicity</x:v>
      </x:c>
      <x:c r="O5" s="13" t="str">
        <x:v>Total / 30</x:v>
      </x:c>
      <x:c r="P5" s="13" t="str">
        <x:v>Competitor snapshot</x:v>
      </x:c>
      <x:c r="Q5" s="13" t="str">
        <x:v>Evaluation &amp; next validation</x:v>
      </x:c>
    </x:row>
    <x:row r="6" ht="78" customHeight="1">
      <x:c r="A6" s="42" t="n">
        <x:f>RANK(O6,$O$6:$O$20,0)</x:f>
        <x:v>1</x:v>
      </x:c>
      <x:c r="B6" s="34" t="str">
        <x:v>Construction change-order capture &amp; approval</x:v>
      </x:c>
      <x:c r="C6" s="34" t="str">
        <x:v>Small remodelers and specialty contractors (2–25 staff)</x:v>
      </x:c>
      <x:c r="D6" s="34" t="str">
        <x:v>Informal client add-ons create unbilled work, disputes, and schedule surprises.</x:v>
      </x:c>
      <x:c r="E6" s="34" t="str">
        <x:v>Mobile change-order draft from photos/voice; price + schedule impact; client e-sign and payment before work.</x:v>
      </x:c>
      <x:c r="F6" s="34" t="str">
        <x:v>Contractors describe small add-ons accumulating; advice repeatedly centers on written approval, a visible running total, and payment at approval.</x:v>
      </x:c>
      <x:c r="G6" s="34" t="str">
        <x:v>https://www.reddit.com/r/Contractor/comments/1urib8q/how_do_you_set_expectations_around_change_orders/</x:v>
      </x:c>
      <x:c r="H6" s="34" t="str">
        <x:v>https://www.reddit.com/r/Contractor/comments/vz3blu/what_all_do_you_use_to_createrecordprocess_change/</x:v>
      </x:c>
      <x:c r="I6" s="45" t="n">
        <x:v>5</x:v>
      </x:c>
      <x:c r="J6" s="45" t="n">
        <x:v>5</x:v>
      </x:c>
      <x:c r="K6" s="45" t="n">
        <x:v>5</x:v>
      </x:c>
      <x:c r="L6" s="45" t="n">
        <x:v>4</x:v>
      </x:c>
      <x:c r="M6" s="45" t="n">
        <x:v>3</x:v>
      </x:c>
      <x:c r="N6" s="45" t="n">
        <x:v>4</x:v>
      </x:c>
      <x:c r="O6" s="45" t="n">
        <x:f>SUM(I6:N6)</x:f>
        <x:v>26</x:v>
      </x:c>
      <x:c r="P6" s="34" t="str">
        <x:v>Buildertrend, JobTread, Fieldwire — gap: sub-60-second, phone-first capture for small trade teams.</x:v>
      </x:c>
      <x:c r="Q6" s="48" t="str">
        <x:v>Promising — Start with one trade; win on phone-first 60-second capture and accounting/payment handoff. Avoid becoming full construction PM.</x:v>
      </x:c>
    </x:row>
    <x:row r="7" ht="78" customHeight="1">
      <x:c r="A7" s="43" t="n">
        <x:f>RANK(O7,$O$6:$O$20,0)</x:f>
        <x:v>2</x:v>
      </x:c>
      <x:c r="B7" s="37" t="str">
        <x:v>Shopify supplier spreadsheet → purchase-order importer</x:v>
      </x:c>
      <x:c r="C7" s="37" t="str">
        <x:v>Shopify merchants with 50–1,000 SKUs and repeat suppliers</x:v>
      </x:c>
      <x:c r="D7" s="37" t="str">
        <x:v>Creating purchase orders from supplier spreadsheets requires product-by-product re-entry; replenishment stays manual.</x:v>
      </x:c>
      <x:c r="E7" s="37" t="str">
        <x:v>CSV/XLSX column mapper, SKU matching, PO draft, variance check, receiving sync, and reorder suggestions.</x:v>
      </x:c>
      <x:c r="F7" s="37" t="str">
        <x:v>A merchant reports ~30 minutes per PO because Shopify cannot import the supplier spreadsheet; comments show workarounds and third-party demand.</x:v>
      </x:c>
      <x:c r="G7" s="37" t="str">
        <x:v>https://www.reddit.com/r/ShopifyeCommerce/comments/1te10xi/how_do_you_manage_inventory_well_in_shopify/</x:v>
      </x:c>
      <x:c r="H7" s="37" t="str">
        <x:v>https://www.reddit.com/r/InventoryManagement/comments/1uib7tx/looking_for_inventory_forecasting_for_shopify/</x:v>
      </x:c>
      <x:c r="I7" s="46" t="n">
        <x:v>4</x:v>
      </x:c>
      <x:c r="J7" s="46" t="n">
        <x:v>4</x:v>
      </x:c>
      <x:c r="K7" s="46" t="n">
        <x:v>4</x:v>
      </x:c>
      <x:c r="L7" s="46" t="n">
        <x:v>5</x:v>
      </x:c>
      <x:c r="M7" s="46" t="n">
        <x:v>3</x:v>
      </x:c>
      <x:c r="N7" s="46" t="n">
        <x:v>5</x:v>
      </x:c>
      <x:c r="O7" s="46" t="n">
        <x:f>SUM(I7:N7)</x:f>
        <x:v>25</x:v>
      </x:c>
      <x:c r="P7" s="37" t="str">
        <x:v>Inventory Planner, Cogsy, Katana — gap: supplier-file import and receiving reliability, not full planning.</x:v>
      </x:c>
      <x:c r="Q7" s="49" t="str">
        <x:v>Promising — Narrow wedge: import + receiving reliability. Validate Shopify API limits and partner-app competition before forecasting features.</x:v>
      </x:c>
    </x:row>
    <x:row r="8" ht="78" customHeight="1">
      <x:c r="A8" s="43" t="n">
        <x:f>RANK(O8,$O$6:$O$20,0)</x:f>
        <x:v>4</x:v>
      </x:c>
      <x:c r="B8" s="37" t="str">
        <x:v>Maintenance coordination for small rental portfolios</x:v>
      </x:c>
      <x:c r="C8" s="37" t="str">
        <x:v>Self-managing landlords / PMs with 2–80 units</x:v>
      </x:c>
      <x:c r="D8" s="37" t="str">
        <x:v>Requests, vendor availability, tenant access, approvals, invoices, and tax records live in texts and folders; full PM suites are overkill.</x:v>
      </x:c>
      <x:c r="E8" s="37" t="str">
        <x:v>Tenant intake link; triage; vendor dispatch; owner approval; automatic status nudges; invoice/receipt folder and export.</x:v>
      </x:c>
      <x:c r="F8" s="37" t="str">
        <x:v>BiggerPockets users call coordination their biggest headache and explicitly cite Buildium as overkill for small portfolios.</x:v>
      </x:c>
      <x:c r="G8" s="37" t="str">
        <x:v>https://www.biggerpockets.com/forums/52/topics/1278042-how-do-you-coordinate-maintenance-vendors-when-you-have-a-day-job</x:v>
      </x:c>
      <x:c r="H8" s="37" t="str">
        <x:v>https://www.biggerpockets.com/forums/899/topics/1192117-software-app-that-handles-maintenance-requests</x:v>
      </x:c>
      <x:c r="I8" s="46" t="n">
        <x:v>5</x:v>
      </x:c>
      <x:c r="J8" s="46" t="n">
        <x:v>4</x:v>
      </x:c>
      <x:c r="K8" s="46" t="n">
        <x:v>4</x:v>
      </x:c>
      <x:c r="L8" s="46" t="n">
        <x:v>4</x:v>
      </x:c>
      <x:c r="M8" s="46" t="n">
        <x:v>3</x:v>
      </x:c>
      <x:c r="N8" s="46" t="n">
        <x:v>4</x:v>
      </x:c>
      <x:c r="O8" s="46" t="n">
        <x:f>SUM(I8:N8)</x:f>
        <x:v>24</x:v>
      </x:c>
      <x:c r="P8" s="37" t="str">
        <x:v>Buildium, DoorLoop, Property Meld — gap: simple 5–80 door coordination without a full PMS.</x:v>
      </x:c>
      <x:c r="Q8" s="49" t="str">
        <x:v>Promising — Interview 15 owners at 5–50 units. Charge a flat fee; focus on coordination, not rent collection or leasing.</x:v>
      </x:c>
    </x:row>
    <x:row r="9" ht="78" customHeight="1">
      <x:c r="A9" s="43" t="n">
        <x:f>RANK(O9,$O$6:$O$20,0)</x:f>
        <x:v>7</x:v>
      </x:c>
      <x:c r="B9" s="37" t="str">
        <x:v>Human-reviewable inventory planning for Shopify</x:v>
      </x:c>
      <x:c r="C9" s="37" t="str">
        <x:v>DTC operators with 100–1,500 SKUs, seasonal demand, supplier lead times</x:v>
      </x:c>
      <x:c r="D9" s="37" t="str">
        <x:v>Spreadsheets fail at scale; black-box forecasts mishandle stockouts, promotions, variants, and seasonal spikes.</x:v>
      </x:c>
      <x:c r="E9" s="37" t="str">
        <x:v>Reorder workspace that flags bad data, tags promo weeks, adjusts for stockouts, and creates reviewable POs—not autopilot ordering.</x:v>
      </x:c>
      <x:c r="F9" s="37" t="str">
        <x:v>Users report stockouts/overstock from spreadsheet workflows and warn that forecasts can under-order after a stockout or overreact to BFCM.</x:v>
      </x:c>
      <x:c r="G9" s="37" t="str">
        <x:v>https://www.reddit.com/r/shopify/comments/1dwp69j/predicting_inventory/</x:v>
      </x:c>
      <x:c r="H9" s="37" t="str">
        <x:v>https://community.shopify.com/t/with-stocky-sunsetting-in-august-2026-what-should-merchants-expect-from-modern-inventory-intelligence/588531</x:v>
      </x:c>
      <x:c r="I9" s="46" t="n">
        <x:v>5</x:v>
      </x:c>
      <x:c r="J9" s="46" t="n">
        <x:v>5</x:v>
      </x:c>
      <x:c r="K9" s="46" t="n">
        <x:v>4</x:v>
      </x:c>
      <x:c r="L9" s="46" t="n">
        <x:v>4</x:v>
      </x:c>
      <x:c r="M9" s="46" t="n">
        <x:v>2</x:v>
      </x:c>
      <x:c r="N9" s="46" t="n">
        <x:v>2</x:v>
      </x:c>
      <x:c r="O9" s="46" t="n">
        <x:f>SUM(I9:N9)</x:f>
        <x:v>22</x:v>
      </x:c>
      <x:c r="P9" s="37" t="str">
        <x:v>Inventory Planner, Cogsy, Flieber — gap: data-quality flags and human review for one vertical.</x:v>
      </x:c>
      <x:c r="Q9" s="49" t="str">
        <x:v>Validate carefully — High-value but crowded. Differentiate only with a vertical (e.g., apparel size curves) or a data-quality/review wedge.</x:v>
      </x:c>
    </x:row>
    <x:row r="10" ht="78" customHeight="1">
      <x:c r="A10" s="43" t="n">
        <x:f>RANK(O10,$O$6:$O$20,0)</x:f>
        <x:v>8</x:v>
      </x:c>
      <x:c r="B10" s="37" t="str">
        <x:v>Equipment + crew availability for event/AV rental</x:v>
      </x:c>
      <x:c r="C10" s="37" t="str">
        <x:v>AV and event-rental operators with mixed service and equipment revenue</x:v>
      </x:c>
      <x:c r="D10" s="37" t="str">
        <x:v>CRM/ERP categories do not model jobs, gear, crews, maintenance holds, and conflicts together; spreadsheets return as glue.</x:v>
      </x:c>
      <x:c r="E10" s="37" t="str">
        <x:v>Unified availability calendar, conflict detection, reservation holds, kit templates, and lightweight quote-to-job flow.</x:v>
      </x:c>
      <x:c r="F10" s="37" t="str">
        <x:v>A small-business discussion identifies double-booking and inventory tracking as persistent pain, with a request to treat gear, crews, holds, and jobs as one scheduling problem.</x:v>
      </x:c>
      <x:c r="G10" s="37" t="str">
        <x:v>https://www.reddit.com/r/smallbusiness/comments/1szkdd1/best_software_stack_for_small_business_doing_both/</x:v>
      </x:c>
      <x:c r="H10" s="37" t="str"/>
      <x:c r="I10" s="46" t="n">
        <x:v>4</x:v>
      </x:c>
      <x:c r="J10" s="46" t="n">
        <x:v>4</x:v>
      </x:c>
      <x:c r="K10" s="46" t="n">
        <x:v>4</x:v>
      </x:c>
      <x:c r="L10" s="46" t="n">
        <x:v>3</x:v>
      </x:c>
      <x:c r="M10" s="46" t="n">
        <x:v>3</x:v>
      </x:c>
      <x:c r="N10" s="46" t="n">
        <x:v>3</x:v>
      </x:c>
      <x:c r="O10" s="46" t="n">
        <x:f>SUM(I10:N10)</x:f>
        <x:v>21</x:v>
      </x:c>
      <x:c r="P10" s="37" t="str">
        <x:v>Rentman, Current RMS, Booqable — gap: AV gear, crew, and maintenance holds in one view.</x:v>
      </x:c>
      <x:c r="Q10" s="49" t="str">
        <x:v>Validate carefully — Strong vertical workflow but integration and calendar correctness are non-negotiable. Pilot with 3–5 operators first.</x:v>
      </x:c>
    </x:row>
    <x:row r="11" ht="78" customHeight="1">
      <x:c r="A11" s="43" t="n">
        <x:f>RANK(O11,$O$6:$O$20,0)</x:f>
        <x:v>8</x:v>
      </x:c>
      <x:c r="B11" s="37" t="str">
        <x:v>Accounts-payable inbox to clean reconciliation</x:v>
      </x:c>
      <x:c r="C11" s="37" t="str">
        <x:v>Growing SMBs using QuickBooks plus spend/bill tools</x:v>
      </x:c>
      <x:c r="D11" s="37" t="str">
        <x:v>Invoice data, approvals, and coding still require copying from documents; automation handles movement, not interpretation.</x:v>
      </x:c>
      <x:c r="E11" s="37" t="str">
        <x:v>Shared invoice inbox; extract fields; confidence flags; approver routing; duplicate detection; export to QuickBooks/Ramp.</x:v>
      </x:c>
      <x:c r="F11" s="37" t="str">
        <x:v>SMB operators describe invoice/leads/scheduling copy-paste work; a commenter reports document extraction saves 3–4 hours weekly but stresses the interpretation bottleneck.</x:v>
      </x:c>
      <x:c r="G11" s="37" t="str">
        <x:v>https://www.reddit.com/r/smallbusiness/comments/1ry01nd/is_it_just_me_or_is_automated_software_still/</x:v>
      </x:c>
      <x:c r="H11" s="37" t="str"/>
      <x:c r="I11" s="46" t="n">
        <x:v>5</x:v>
      </x:c>
      <x:c r="J11" s="46" t="n">
        <x:v>4</x:v>
      </x:c>
      <x:c r="K11" s="46" t="n">
        <x:v>4</x:v>
      </x:c>
      <x:c r="L11" s="46" t="n">
        <x:v>3</x:v>
      </x:c>
      <x:c r="M11" s="46" t="n">
        <x:v>2</x:v>
      </x:c>
      <x:c r="N11" s="46" t="n">
        <x:v>3</x:v>
      </x:c>
      <x:c r="O11" s="46" t="n">
        <x:f>SUM(I11:N11)</x:f>
        <x:v>21</x:v>
      </x:c>
      <x:c r="P11" s="37" t="str">
        <x:v>BILL, Ramp, Dext — gap: vertical document exceptions and reconciliation control.</x:v>
      </x:c>
      <x:c r="Q11" s="49" t="str">
        <x:v>Validate carefully — Very crowded and accuracy-sensitive. Only pursue a narrow vertical document type or a distinctive approval/reconciliation integration.</x:v>
      </x:c>
    </x:row>
    <x:row r="12" ht="78" customHeight="1">
      <x:c r="A12" s="43" t="n">
        <x:f>RANK(O12,$O$6:$O$20,0)</x:f>
        <x:v>11</x:v>
      </x:c>
      <x:c r="B12" s="37" t="str">
        <x:v>Pool-service stop log → invoice &amp; customer proof</x:v>
      </x:c>
      <x:c r="C12" s="37" t="str">
        <x:v>Small pool service routes (10–150 accounts)</x:v>
      </x:c>
      <x:c r="D12" s="37" t="str">
        <x:v>General invoicing tools force techs to re-enter chemical usage, service notes, and visit dates after the stop.</x:v>
      </x:c>
      <x:c r="E12" s="37" t="str">
        <x:v>Sub-60-second field log, chemistry calculations, photo report, recurring billing, and exception billing for chemicals/repairs.</x:v>
      </x:c>
      <x:c r="F12" s="37" t="str">
        <x:v>A 60-account pool tech says the log must happen at the stop and invoices should build from it; another thread notes generic retail POS lacks test-result and chemical tracking.</x:v>
      </x:c>
      <x:c r="G12" s="37" t="str">
        <x:v>https://www.reddit.com/r/smallbusiness/comments/1rtq9k9/what_appsoftware_do_you_use_to_make_bills_for/</x:v>
      </x:c>
      <x:c r="H12" s="37" t="str">
        <x:v>https://www.reddit.com/r/PoolPros/comments/1tgpjgb/new_to_the_pool_service_industry_what_software_do/</x:v>
      </x:c>
      <x:c r="I12" s="46" t="n">
        <x:v>4</x:v>
      </x:c>
      <x:c r="J12" s="46" t="n">
        <x:v>4</x:v>
      </x:c>
      <x:c r="K12" s="46" t="n">
        <x:v>3</x:v>
      </x:c>
      <x:c r="L12" s="46" t="n">
        <x:v>4</x:v>
      </x:c>
      <x:c r="M12" s="46" t="n">
        <x:v>2</x:v>
      </x:c>
      <x:c r="N12" s="46" t="n">
        <x:v>3</x:v>
      </x:c>
      <x:c r="O12" s="46" t="n">
        <x:f>SUM(I12:N12)</x:f>
        <x:v>20</x:v>
      </x:c>
      <x:c r="P12" s="37" t="str">
        <x:v>Skimmer, Pool Brain, Jobber — gap: low-friction pool stop log and chemistry proof for small routes.</x:v>
      </x:c>
      <x:c r="Q12" s="49" t="str">
        <x:v>Not first choice — Real pain but mature specialist tools exist. Consider a lower-cost solo-tech niche only after pricing and switching interviews.</x:v>
      </x:c>
    </x:row>
    <x:row r="13" ht="78" customHeight="1">
      <x:c r="A13" s="43" t="n">
        <x:f>RANK(O13,$O$6:$O$20,0)</x:f>
        <x:v>11</x:v>
      </x:c>
      <x:c r="B13" s="37" t="str">
        <x:v>Retail POS + field-service operations connector</x:v>
      </x:c>
      <x:c r="C13" s="37" t="str">
        <x:v>Multi-location service businesses with retail inventory and field crews</x:v>
      </x:c>
      <x:c r="D13" s="37" t="str">
        <x:v>POS/inventory, water testing, service orders, and crew scheduling do not stay in sync; staff spend hours reconciling systems.</x:v>
      </x:c>
      <x:c r="E13" s="37" t="str">
        <x:v>Sync layer for customer/item/service data; exception queue; field usage → inventory decrement; daily reconciliation and audit log.</x:v>
      </x:c>
      <x:c r="F13" s="37" t="str">
        <x:v>A pool installation/service business with three stores and ten crews reports separate systems that do not talk, creating hours of sync work as it expands.</x:v>
      </x:c>
      <x:c r="G13" s="37" t="str">
        <x:v>https://www.reddit.com/r/smallbusiness/comments/1g8shp4/point_of_sale_service_scheduling/</x:v>
      </x:c>
      <x:c r="H13" s="37" t="str"/>
      <x:c r="I13" s="46" t="n">
        <x:v>4</x:v>
      </x:c>
      <x:c r="J13" s="46" t="n">
        <x:v>5</x:v>
      </x:c>
      <x:c r="K13" s="46" t="n">
        <x:v>4</x:v>
      </x:c>
      <x:c r="L13" s="46" t="n">
        <x:v>3</x:v>
      </x:c>
      <x:c r="M13" s="46" t="n">
        <x:v>2</x:v>
      </x:c>
      <x:c r="N13" s="46" t="n">
        <x:v>2</x:v>
      </x:c>
      <x:c r="O13" s="46" t="n">
        <x:f>SUM(I13:N13)</x:f>
        <x:v>20</x:v>
      </x:c>
      <x:c r="P13" s="37" t="str">
        <x:v>ServiceTitan, Jobber, Dynamics 365 Field Service — gap: one POS-to-field-service connector, not a replacement suite.</x:v>
      </x:c>
      <x:c r="Q13" s="49" t="str">
        <x:v>Validate carefully — High economic pain but integration-heavy. Start as a connector for one POS + one field-service system, not a replacement suite.</x:v>
      </x:c>
    </x:row>
    <x:row r="14" ht="78" customHeight="1">
      <x:c r="A14" s="43" t="n">
        <x:f>RANK(O14,$O$6:$O$20,0)</x:f>
        <x:v>11</x:v>
      </x:c>
      <x:c r="B14" s="37" t="str">
        <x:v>Visual client feedback and enforceable sign-off</x:v>
      </x:c>
      <x:c r="C14" s="37" t="str">
        <x:v>Small web/design agencies and freelancers</x:v>
      </x:c>
      <x:c r="D14" s="37" t="str">
        <x:v>Feedback is vague, scattered, tied to the wrong version, and approval is hard to prove—causing extra revision rounds.</x:v>
      </x:c>
      <x:c r="E14" s="37" t="str">
        <x:v>Website/asset annotations, version lock, structured feedback prompts, approver roles, and audit-ready sign-off.</x:v>
      </x:c>
      <x:c r="F14" s="37" t="str">
        <x:v>Designers cite feedback scattered across email/screenshots/messages and ask for a clear approval step; respondents recommend keeping comments tied to the correct version.</x:v>
      </x:c>
      <x:c r="G14" s="37" t="str">
        <x:v>https://www.reddit.com/r/webdesign/comments/1pr8cuc/how_do_you_get_clear_client_feedback_without/</x:v>
      </x:c>
      <x:c r="H14" s="37" t="str">
        <x:v>https://www.reddit.com/r/web_design/comments/1mmew8w/how_do_you_handle_client_feedback_approvals/</x:v>
      </x:c>
      <x:c r="I14" s="46" t="n">
        <x:v>4</x:v>
      </x:c>
      <x:c r="J14" s="46" t="n">
        <x:v>3</x:v>
      </x:c>
      <x:c r="K14" s="46" t="n">
        <x:v>3</x:v>
      </x:c>
      <x:c r="L14" s="46" t="n">
        <x:v>5</x:v>
      </x:c>
      <x:c r="M14" s="46" t="n">
        <x:v>1</x:v>
      </x:c>
      <x:c r="N14" s="46" t="n">
        <x:v>4</x:v>
      </x:c>
      <x:c r="O14" s="46" t="n">
        <x:f>SUM(I14:N14)</x:f>
        <x:v>20</x:v>
      </x:c>
      <x:c r="P14" s="37" t="str">
        <x:v>Filestage, Ziflow, MarkUp.io — gap: website-builder-integrated approvals and version lock.</x:v>
      </x:c>
      <x:c r="Q14" s="49" t="str">
        <x:v>Not first choice — Pain is clear but proofing is mature (e.g., Filestage, Ziflow). Seek an underserved format or a deep website-builder integration.</x:v>
      </x:c>
    </x:row>
    <x:row r="15" ht="78" customHeight="1">
      <x:c r="A15" s="43" t="n">
        <x:f>RANK(O15,$O$6:$O$20,0)</x:f>
        <x:v>15</x:v>
      </x:c>
      <x:c r="B15" s="37" t="str">
        <x:v>Shopify return-exception control plane</x:v>
      </x:c>
      <x:c r="C15" s="37" t="str">
        <x:v>Omnichannel retailers using Shopify POS plus ERP/3PL</x:v>
      </x:c>
      <x:c r="D15" s="37" t="str">
        <x:v>Returns become messy after label creation: delayed scans, partial returns, refunds before receipt, exchanges, and non-receipt/split-tender exceptions.</x:v>
      </x:c>
      <x:c r="E15" s="37" t="str">
        <x:v>Rules-based exception queue; proof-of-return checks; store-credit workflows; accounting-safe inventory adjustments; ERP handoff.</x:v>
      </x:c>
      <x:c r="F15" s="37" t="str">
        <x:v>Shopify Community discussions describe post-label exceptions and no-receipt returns that force manual workarounds and risk accounting/inventory errors.</x:v>
      </x:c>
      <x:c r="G15" s="37" t="str">
        <x:v>https://community.shopify.com/t/return-issues-with-return-labels-or-carrier-integrations-refunds-or-customer-experience/621534</x:v>
      </x:c>
      <x:c r="H15" s="37" t="str">
        <x:v>https://community.shopify.com/t/we-need-a-way-to-take-returns-with-no-receipt-pleas-allow-negative-qtys-in-pos-sales/243152</x:v>
      </x:c>
      <x:c r="I15" s="46" t="n">
        <x:v>3</x:v>
      </x:c>
      <x:c r="J15" s="46" t="n">
        <x:v>4</x:v>
      </x:c>
      <x:c r="K15" s="46" t="n">
        <x:v>3</x:v>
      </x:c>
      <x:c r="L15" s="46" t="n">
        <x:v>4</x:v>
      </x:c>
      <x:c r="M15" s="46" t="n">
        <x:v>2</x:v>
      </x:c>
      <x:c r="N15" s="46" t="n">
        <x:v>3</x:v>
      </x:c>
      <x:c r="O15" s="46" t="n">
        <x:f>SUM(I15:N15)</x:f>
        <x:v>19</x:v>
      </x:c>
      <x:c r="P15" s="37" t="str">
        <x:v>AfterShip, ReturnGO, Loop — gap: complex POS/ERP return exceptions and accounting controls.</x:v>
      </x:c>
      <x:c r="Q15" s="49" t="str">
        <x:v>Validate carefully — Build only if Shopify’s APIs permit the exception paths. The wedge is controls for complicated retail, not a generic returns portal.</x:v>
      </x:c>
    </x:row>
    <x:row r="16" ht="78" customHeight="1">
      <x:c r="A16" s="43" t="n">
        <x:f>RANK(O16,$O$6:$O$20,0)</x:f>
        <x:v>8</x:v>
      </x:c>
      <x:c r="B16" s="37" t="str">
        <x:v>Agency reporting-dashboard template &amp; mapping QA</x:v>
      </x:c>
      <x:c r="C16" s="37" t="str">
        <x:v>HubSpot partner agencies with 5–50 client portals</x:v>
      </x:c>
      <x:c r="D16" s="37" t="str">
        <x:v>Recreating standard dashboards in every client portal causes manual setup and inconsistent reporting.</x:v>
      </x:c>
      <x:c r="E16" s="37" t="str">
        <x:v>Define a metric template once; map fields per portal; surface broken mappings; produce a client-facing glossary.</x:v>
      </x:c>
      <x:c r="F16" s="37" t="str">
        <x:v>Agency partners ask to clone reporting dashboards across portals to avoid manual work; replies identify recurring agency value.</x:v>
      </x:c>
      <x:c r="G16" s="37" t="str">
        <x:v>https://community.hubspot.com/t5/HubSpot-Ideas/Dashboard-clone-to-other-portals/idc-p/411465/highlight/true?profile.language=pt-br</x:v>
      </x:c>
      <x:c r="H16" s="37" t="str"/>
      <x:c r="I16" s="46" t="n">
        <x:v>4</x:v>
      </x:c>
      <x:c r="J16" s="46" t="n">
        <x:v>3</x:v>
      </x:c>
      <x:c r="K16" s="46" t="n">
        <x:v>4</x:v>
      </x:c>
      <x:c r="L16" s="46" t="n">
        <x:v>5</x:v>
      </x:c>
      <x:c r="M16" s="46" t="n">
        <x:v>2</x:v>
      </x:c>
      <x:c r="N16" s="46" t="n">
        <x:v>3</x:v>
      </x:c>
      <x:c r="O16" s="46" t="n">
        <x:f>SUM(I16:N16)</x:f>
        <x:v>21</x:v>
      </x:c>
      <x:c r="P16" s="37" t="str">
        <x:v>AgencyAnalytics, Databox, Swydo — gap: clone templates and QA mappings across client portals.</x:v>
      </x:c>
      <x:c r="Q16" s="49" t="str">
        <x:v>Validate carefully — Crowded reporting category. Test whether template deployment + mapping QA is distinctly faster than AgencyAnalytics, Databox, or manual setup.</x:v>
      </x:c>
    </x:row>
    <x:row r="17" ht="78" customHeight="1">
      <x:c r="A17" s="43" t="n">
        <x:f>RANK(O17,$O$6:$O$20,0)</x:f>
        <x:v>2</x:v>
      </x:c>
      <x:c r="B17" s="37" t="str">
        <x:v>Campaign UTM governance &amp; attribution QA</x:v>
      </x:c>
      <x:c r="C17" s="37" t="str">
        <x:v>B2B marketing teams and performance agencies running 20+ campaigns per quarter</x:v>
      </x:c>
      <x:c r="D17" s="37" t="str">
        <x:v>Campaign names and UTM parameters diverge across ad, email, and CRM tools, creating broken attribution and manual cleanup.</x:v>
      </x:c>
      <x:c r="E17" s="37" t="str">
        <x:v>Campaign brief to governed link builder; enforce naming rules; detect invalid live UTMs; reconcile values before reporting.</x:v>
      </x:c>
      <x:c r="F17" s="37" t="str">
        <x:v>Practitioners maintain standards sheets and manually generate UTMs; platform-specific patterns can put traffic in the wrong reporting bucket.</x:v>
      </x:c>
      <x:c r="G17" s="37" t="str">
        <x:v>https://community.hubspot.com/t5/Email-Marketing-Tool/Email-UTM-s-Tracking-URL-Builder/m-p/1176150/highlight/true</x:v>
      </x:c>
      <x:c r="H17" s="37" t="str">
        <x:v>https://community.hubspot.com/t5/Ads/Best-way-to-track-Zoominfo-ads-in-a-HubSpot-Campaign/m-p/1239388</x:v>
      </x:c>
      <x:c r="I17" s="46" t="n">
        <x:v>5</x:v>
      </x:c>
      <x:c r="J17" s="46" t="n">
        <x:v>4</x:v>
      </x:c>
      <x:c r="K17" s="46" t="n">
        <x:v>4</x:v>
      </x:c>
      <x:c r="L17" s="46" t="n">
        <x:v>5</x:v>
      </x:c>
      <x:c r="M17" s="46" t="n">
        <x:v>3</x:v>
      </x:c>
      <x:c r="N17" s="46" t="n">
        <x:v>4</x:v>
      </x:c>
      <x:c r="O17" s="46" t="n">
        <x:f>SUM(I17:N17)</x:f>
        <x:v>25</x:v>
      </x:c>
      <x:c r="P17" s="37" t="str">
        <x:v>UTM.io, CampaignTrackly, HubSpot tracking URLs — gap: cross-platform attribution QA for agencies.</x:v>
      </x:c>
      <x:c r="Q17" s="49" t="str">
        <x:v>Promising — High-frequency and easy to interview. Validate a CRM-aware QA, approval-gate, or white-label agency wedge—not a generic UTM builder.</x:v>
      </x:c>
    </x:row>
    <x:row r="18" ht="78" customHeight="1">
      <x:c r="A18" s="43" t="n">
        <x:f>RANK(O18,$O$6:$O$20,0)</x:f>
        <x:v>5</x:v>
      </x:c>
      <x:c r="B18" s="37" t="str">
        <x:v>Client approval chase &amp; launch-risk control</x:v>
      </x:c>
      <x:c r="C18" s="37" t="str">
        <x:v>Content, video, and social agencies with 5–30 active clients</x:v>
      </x:c>
      <x:c r="D18" s="37" t="str">
        <x:v>Late feedback and approvals delay launches, drive revision work, and create difficult overage-billing conversations.</x:v>
      </x:c>
      <x:c r="E18" s="37" t="str">
        <x:v>Branded approval page, deadline/escalation rules, client-visible launch impact, and an exportable approval/overage record.</x:v>
      </x:c>
      <x:c r="F18" s="37" t="str">
        <x:v>A freelance video marketer describes approval delays despite proposal-level rules; the discussion ties them to extended projects and overage bills.</x:v>
      </x:c>
      <x:c r="G18" s="37" t="str">
        <x:v>https://community.hubspot.com/t5/Video-Marketing/Client-Timelines-and-Expectations/m-p/1158030</x:v>
      </x:c>
      <x:c r="H18" s="37" t="str"/>
      <x:c r="I18" s="46" t="n">
        <x:v>4</x:v>
      </x:c>
      <x:c r="J18" s="46" t="n">
        <x:v>4</x:v>
      </x:c>
      <x:c r="K18" s="46" t="n">
        <x:v>4</x:v>
      </x:c>
      <x:c r="L18" s="46" t="n">
        <x:v>5</x:v>
      </x:c>
      <x:c r="M18" s="46" t="n">
        <x:v>2</x:v>
      </x:c>
      <x:c r="N18" s="46" t="n">
        <x:v>4</x:v>
      </x:c>
      <x:c r="O18" s="46" t="n">
        <x:f>SUM(I18:N18)</x:f>
        <x:v>23</x:v>
      </x:c>
      <x:c r="P18" s="37" t="str">
        <x:v>Filestage, Ziflow, Frame.io — gap: client chasing, deadline escalation, and overage evidence.</x:v>
      </x:c>
      <x:c r="Q18" s="49" t="str">
        <x:v>Validate carefully — Proofing is mature. Test whether client-chasing and escalation accountability earns a separate budget from Filestage, Ziflow, or project management.</x:v>
      </x:c>
    </x:row>
    <x:row r="19" ht="78" customHeight="1">
      <x:c r="A19" s="43" t="n">
        <x:f>RANK(O19,$O$6:$O$20,0)</x:f>
        <x:v>11</x:v>
      </x:c>
      <x:c r="B19" s="37" t="str">
        <x:v>External social-post approval for franchises &amp; agencies</x:v>
      </x:c>
      <x:c r="C19" s="37" t="str">
        <x:v>Multi-location brands, franchise networks, and social agencies with 10–200 accounts</x:v>
      </x:c>
      <x:c r="D19" s="37" t="str">
        <x:v>Clients and franchisees need to review, revise, and explicitly approve social posts before publishing; email fragments the process.</x:v>
      </x:c>
      <x:c r="E19" s="37" t="str">
        <x:v>External-approver workflow with branded email/SMS approvals, per-location permissions, revision trace, publication lock, and audit packet.</x:v>
      </x:c>
      <x:c r="F19" s="37" t="str">
        <x:v>A partner agency describes client review and revision before scheduled publishing; a related approval/notification request accumulated 321 upvotes.</x:v>
      </x:c>
      <x:c r="G19" s="37" t="str">
        <x:v>https://community.hubspot.com/t5/HubSpot-Ideas/Approval-process-in-Social-Media-Content-Calendar/idi-p/647002</x:v>
      </x:c>
      <x:c r="H19" s="37" t="str"/>
      <x:c r="I19" s="46" t="n">
        <x:v>4</x:v>
      </x:c>
      <x:c r="J19" s="46" t="n">
        <x:v>4</x:v>
      </x:c>
      <x:c r="K19" s="46" t="n">
        <x:v>4</x:v>
      </x:c>
      <x:c r="L19" s="46" t="n">
        <x:v>4</x:v>
      </x:c>
      <x:c r="M19" s="46" t="n">
        <x:v>1</x:v>
      </x:c>
      <x:c r="N19" s="46" t="n">
        <x:v>3</x:v>
      </x:c>
      <x:c r="O19" s="46" t="n">
        <x:f>SUM(I19:N19)</x:f>
        <x:v>20</x:v>
      </x:c>
      <x:c r="P19" s="37" t="str">
        <x:v>Planable, Gain, HubSpot Social — gap: external franchise/client permissions and audit trail.</x:v>
      </x:c>
      <x:c r="Q19" s="49" t="str">
        <x:v>Niche only — HubSpot now covers some enterprise approval needs. Focus on external client/franchise permissions where scheduler coverage remains incomplete.</x:v>
      </x:c>
    </x:row>
    <x:row r="20" ht="78" customHeight="1">
      <x:c r="A20" s="44" t="n">
        <x:f>RANK(O20,$O$6:$O$20,0)</x:f>
        <x:v>5</x:v>
      </x:c>
      <x:c r="B20" s="40" t="str">
        <x:v>Agency recurring website-maintenance control tower</x:v>
      </x:c>
      <x:c r="C20" s="40" t="str">
        <x:v>Website/marketing agencies with 3–20 staff and 20–150 retainer clients</x:v>
      </x:c>
      <x:c r="D20" s="40" t="str">
        <x:v>Renewals, maintenance proof, support requests, client assets, and reporting are split across spreadsheets, email, and point tools.</x:v>
      </x:c>
      <x:c r="E20" s="40" t="str">
        <x:v>Client asset inventory, domain/hosting renewal reminders, maintenance proof, request intake, and a monthly delivery checklist.</x:v>
      </x:c>
      <x:c r="F20" s="40" t="str">
        <x:v>An agency operator describes a post-launch 'tool zoo' of Trello, spreadsheets, email, monitoring, password vaults, reporting documents, and renewal notes.</x:v>
      </x:c>
      <x:c r="G20" s="40" t="str">
        <x:v>https://www.warriorforum.com/website-design/1519951-agency-level-tools.html</x:v>
      </x:c>
      <x:c r="H20" s="40" t="str"/>
      <x:c r="I20" s="47" t="n">
        <x:v>5</x:v>
      </x:c>
      <x:c r="J20" s="47" t="n">
        <x:v>4</x:v>
      </x:c>
      <x:c r="K20" s="47" t="n">
        <x:v>4</x:v>
      </x:c>
      <x:c r="L20" s="47" t="n">
        <x:v>5</x:v>
      </x:c>
      <x:c r="M20" s="47" t="n">
        <x:v>2</x:v>
      </x:c>
      <x:c r="N20" s="47" t="n">
        <x:v>3</x:v>
      </x:c>
      <x:c r="O20" s="47" t="n">
        <x:f>SUM(I20:N20)</x:f>
        <x:v>23</x:v>
      </x:c>
      <x:c r="P20" s="40" t="str">
        <x:v>ManageWP, MainWP, Atarim — gap: renewal risk, proof of work, and recurring delivery control.</x:v>
      </x:c>
      <x:c r="Q20" s="50" t="str">
        <x:v>Validate carefully — Broad agency-OS products are common. Start narrowly with recurring website maintenance and renewal-risk control, not a PSA replacement.</x:v>
      </x:c>
    </x:row>
  </x:sheetData>
  <x:mergeCells>
    <x:mergeCell ref="A1:Q1"/>
    <x:mergeCell ref="A2:Q2"/>
  </x:mergeCells>
  <x:conditionalFormatting sqref="A6:A20">
    <x:cfRule type="cellIs" dxfId="0" priority="1" operator="lessThanOrEqual">
      <x:formula>3</x:formula>
    </x:cfRule>
  </x:conditionalFormatting>
  <x:conditionalFormatting sqref="O6:O20">
    <x:cfRule type="colorScale" priority="2">
      <x:colorScale>
        <x:cfvo type="min"/>
        <x:cfvo type="percentile" val="50"/>
        <x:cfvo type="max"/>
        <x:color rgb="FFFCE4D6"/>
        <x:color rgb="FFFFF2CC"/>
        <x:color rgb="FFC6E0B4"/>
      </x:colorScale>
    </x:cfRule>
  </x:conditionalFormatting>
  <x:conditionalFormatting sqref="Q6:Q20">
    <x:cfRule type="containsText" dxfId="1" priority="3" operator="containsText" text="Promising"/>
    <x:cfRule type="containsText" dxfId="2" priority="4" operator="containsText" text="Not first choice"/>
    <x:cfRule type="containsText" dxfId="3" priority="5" operator="containsText" text="Validate carefully"/>
    <x:cfRule type="containsText" dxfId="4" priority="6" operator="containsText" text="Niche only"/>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5" hidden="0" customWidth="1"/>
    <x:col min="2" max="2" width="20" hidden="0" customWidth="1"/>
    <x:col min="3" max="3" width="43" hidden="0" customWidth="1"/>
    <x:col min="4" max="4" width="16" hidden="0" customWidth="1"/>
    <x:col min="5" max="5" width="58" hidden="0" customWidth="1"/>
    <x:col min="6" max="6" width="42" hidden="0" customWidth="1"/>
  </x:cols>
  <x:sheetData>
    <x:row r="1" ht="30" customHeight="1">
      <x:c r="A1" s="3" t="str">
        <x:v>Scoring Guide, Method, and Source Catalogue</x:v>
      </x:c>
      <x:c r="B1" s="3" t="str">
        <x:v>Scoring Guide, Method, and Source Catalogue</x:v>
      </x:c>
      <x:c r="C1" s="3" t="str">
        <x:v>Scoring Guide, Method, and Source Catalogue</x:v>
      </x:c>
      <x:c r="D1" s="3" t="str">
        <x:v>Scoring Guide, Method, and Source Catalogue</x:v>
      </x:c>
      <x:c r="E1" s="3" t="str">
        <x:v>Scoring Guide, Method, and Source Catalogue</x:v>
      </x:c>
      <x:c r="F1" s="3" t="str">
        <x:v>Scoring Guide, Method, and Source Catalogue</x:v>
      </x:c>
    </x:row>
    <x:row r="2" ht="28" customHeight="1">
      <x:c r="A2" s="7" t="str">
        <x:v>This is qualitative problem discovery. Forum posts surface language, workflow failures, and alternatives; they do not prove total market size or demand frequency.</x:v>
      </x:c>
      <x:c r="B2" s="7" t="str">
        <x:v>This is qualitative problem discovery. Forum posts surface language, workflow failures, and alternatives; they do not prove total market size or demand frequency.</x:v>
      </x:c>
      <x:c r="C2" s="7" t="str">
        <x:v>This is qualitative problem discovery. Forum posts surface language, workflow failures, and alternatives; they do not prove total market size or demand frequency.</x:v>
      </x:c>
      <x:c r="D2" s="7" t="str">
        <x:v>This is qualitative problem discovery. Forum posts surface language, workflow failures, and alternatives; they do not prove total market size or demand frequency.</x:v>
      </x:c>
      <x:c r="E2" s="7" t="str">
        <x:v>This is qualitative problem discovery. Forum posts surface language, workflow failures, and alternatives; they do not prove total market size or demand frequency.</x:v>
      </x:c>
      <x:c r="F2" s="7" t="str">
        <x:v>This is qualitative problem discovery. Forum posts surface language, workflow failures, and alternatives; they do not prove total market size or demand frequency.</x:v>
      </x:c>
    </x:row>
    <x:row r="4">
      <x:c r="A4" s="126" t="str">
        <x:v>Score dimension</x:v>
      </x:c>
      <x:c r="B4" s="126" t="str">
        <x:v>What a 5 means</x:v>
      </x:c>
      <x:c r="C4" s="126" t="str">
        <x:v>Why it matters</x:v>
      </x:c>
    </x:row>
    <x:row r="5" ht="54" customHeight="1">
      <x:c r="A5" s="95" t="str">
        <x:v>Frequency</x:v>
      </x:c>
      <x:c r="B5" s="96" t="str">
        <x:v>Observed across multiple posts or intrinsic recurring workflow</x:v>
      </x:c>
      <x:c r="C5" s="97" t="str">
        <x:v>Supports repeat usage and retention.</x:v>
      </x:c>
    </x:row>
    <x:row r="6" ht="54" customHeight="1">
      <x:c r="A6" s="98" t="str">
        <x:v>Financial impact</x:v>
      </x:c>
      <x:c r="B6" s="99" t="str">
        <x:v>Avoids material revenue loss, labor, risk, or inventory cost</x:v>
      </x:c>
      <x:c r="C6" s="100" t="str">
        <x:v>Improves willingness to pay.</x:v>
      </x:c>
    </x:row>
    <x:row r="7" ht="54" customHeight="1">
      <x:c r="A7" s="98" t="str">
        <x:v>Willingness to pay</x:v>
      </x:c>
      <x:c r="B7" s="99" t="str">
        <x:v>Problem already receives paid-tool or manual-service spend</x:v>
      </x:c>
      <x:c r="C7" s="100" t="str">
        <x:v>Tests monetization plausibility.</x:v>
      </x:c>
    </x:row>
    <x:row r="8" ht="54" customHeight="1">
      <x:c r="A8" s="98" t="str">
        <x:v>Buyer reachability</x:v>
      </x:c>
      <x:c r="B8" s="99" t="str">
        <x:v>ICP gathers in identifiable communities/channels</x:v>
      </x:c>
      <x:c r="C8" s="100" t="str">
        <x:v>Makes early distribution possible.</x:v>
      </x:c>
    </x:row>
    <x:row r="9" ht="54" customHeight="1">
      <x:c r="A9" s="98" t="str">
        <x:v>Competition gap</x:v>
      </x:c>
      <x:c r="B9" s="99" t="str">
        <x:v>Existing tools are too broad, costly, or miss a specific workflow</x:v>
      </x:c>
      <x:c r="C9" s="100" t="str">
        <x:v>A low score signals a crowded/mature category.</x:v>
      </x:c>
    </x:row>
    <x:row r="10" ht="54" customHeight="1">
      <x:c r="A10" s="101" t="str">
        <x:v>Build simplicity</x:v>
      </x:c>
      <x:c r="B10" s="102" t="str">
        <x:v>Can deliver a useful v1 without many integrations, compliance burdens, or network effects</x:v>
      </x:c>
      <x:c r="C10" s="103" t="str">
        <x:v>A low score signals execution risk.</x:v>
      </x:c>
    </x:row>
    <x:row r="12">
      <x:c r="A12" s="68" t="str">
        <x:v>Research sources (links are plain-text URLs so the workbook remains auditable)</x:v>
      </x:c>
      <x:c r="B12" s="68" t="str">
        <x:v>Research sources (links are plain-text URLs so the workbook remains auditable)</x:v>
      </x:c>
      <x:c r="C12" s="68" t="str">
        <x:v>Research sources (links are plain-text URLs so the workbook remains auditable)</x:v>
      </x:c>
      <x:c r="D12" s="68" t="str">
        <x:v>Research sources (links are plain-text URLs so the workbook remains auditable)</x:v>
      </x:c>
      <x:c r="E12" s="68" t="str">
        <x:v>Research sources (links are plain-text URLs so the workbook remains auditable)</x:v>
      </x:c>
      <x:c r="F12" s="68" t="str">
        <x:v>Research sources (links are plain-text URLs so the workbook remains auditable)</x:v>
      </x:c>
    </x:row>
    <x:row r="13" ht="30" customHeight="1">
      <x:c r="A13" s="74" t="str">
        <x:v>Opportunity</x:v>
      </x:c>
      <x:c r="B13" s="74" t="str">
        <x:v>Forum</x:v>
      </x:c>
      <x:c r="C13" s="74" t="str">
        <x:v>Source title / observed issue</x:v>
      </x:c>
      <x:c r="D13" s="74" t="str">
        <x:v>Published / observed</x:v>
      </x:c>
      <x:c r="E13" s="74" t="str">
        <x:v>URL</x:v>
      </x:c>
      <x:c r="F13" s="74" t="str">
        <x:v>Use in evaluation</x:v>
      </x:c>
    </x:row>
    <x:row r="14" ht="36" customHeight="1">
      <x:c r="A14" s="33" t="str">
        <x:v>Construction change orders</x:v>
      </x:c>
      <x:c r="B14" s="34" t="str">
        <x:v>Reddit r/Contractor</x:v>
      </x:c>
      <x:c r="C14" s="34" t="str">
        <x:v>How do you set expectations around change orders?</x:v>
      </x:c>
      <x:c r="D14" s="34" t="str">
        <x:v>2026-07</x:v>
      </x:c>
      <x:c r="E14" s="34" t="str">
        <x:v>https://www.reddit.com/r/Contractor/comments/1urib8q/how_do_you_set_expectations_around_change_orders/</x:v>
      </x:c>
      <x:c r="F14" s="35" t="str">
        <x:v>Evidence of repeat scope-creep, written approval, and visible running total.</x:v>
      </x:c>
    </x:row>
    <x:row r="15" ht="36" customHeight="1">
      <x:c r="A15" s="36" t="str">
        <x:v>Construction change orders</x:v>
      </x:c>
      <x:c r="B15" s="37" t="str">
        <x:v>Reddit r/Contractor</x:v>
      </x:c>
      <x:c r="C15" s="37" t="str">
        <x:v>What all do you use to create/record/process change orders?</x:v>
      </x:c>
      <x:c r="D15" s="37" t="str">
        <x:v>2022-07</x:v>
      </x:c>
      <x:c r="E15" s="37" t="str">
        <x:v>https://www.reddit.com/r/Contractor/comments/vz3blu/what_all_do_you_use_to_createrecordprocess_change/</x:v>
      </x:c>
      <x:c r="F15" s="38" t="str">
        <x:v>Shows paperwork, spreadsheets, and e-sign workflow discussion.</x:v>
      </x:c>
    </x:row>
    <x:row r="16" ht="36" customHeight="1">
      <x:c r="A16" s="36" t="str">
        <x:v>Shopify PO importer</x:v>
      </x:c>
      <x:c r="B16" s="37" t="str">
        <x:v>Reddit r/ShopifyeCommerce</x:v>
      </x:c>
      <x:c r="C16" s="37" t="str">
        <x:v>How do you manage inventory well in Shopify?</x:v>
      </x:c>
      <x:c r="D16" s="37" t="str">
        <x:v>2026-05</x:v>
      </x:c>
      <x:c r="E16" s="37" t="str">
        <x:v>https://www.reddit.com/r/ShopifyeCommerce/comments/1te10xi/how_do_you_manage_inventory_well_in_shopify/</x:v>
      </x:c>
      <x:c r="F16" s="38" t="str">
        <x:v>Direct report of manual product-by-product PO entry from supplier spreadsheet.</x:v>
      </x:c>
    </x:row>
    <x:row r="17" ht="36" customHeight="1">
      <x:c r="A17" s="36" t="str">
        <x:v>Shopify PO importer</x:v>
      </x:c>
      <x:c r="B17" s="37" t="str">
        <x:v>Reddit r/InventoryManagement</x:v>
      </x:c>
      <x:c r="C17" s="37" t="str">
        <x:v>Looking for inventory forecasting for Shopify</x:v>
      </x:c>
      <x:c r="D17" s="37" t="str">
        <x:v>2026-06</x:v>
      </x:c>
      <x:c r="E17" s="37" t="str">
        <x:v>https://www.reddit.com/r/InventoryManagement/comments/1uib7tx/looking_for_inventory_forecasting_for_shopify/</x:v>
      </x:c>
      <x:c r="F17" s="38" t="str">
        <x:v>Signals spreadsheet wall, lead-time / PO workflow needs, and crowded alternatives.</x:v>
      </x:c>
    </x:row>
    <x:row r="18" ht="36" customHeight="1">
      <x:c r="A18" s="36" t="str">
        <x:v>Rental maintenance</x:v>
      </x:c>
      <x:c r="B18" s="37" t="str">
        <x:v>BiggerPockets</x:v>
      </x:c>
      <x:c r="C18" s="37" t="str">
        <x:v>How do you coordinate maintenance vendors when you have a day job?</x:v>
      </x:c>
      <x:c r="D18" s="37" t="str">
        <x:v>2026-02</x:v>
      </x:c>
      <x:c r="E18" s="37" t="str">
        <x:v>https://www.biggerpockets.com/forums/52/topics/1278042-how-do-you-coordinate-maintenance-vendors-when-you-have-a-day-job</x:v>
      </x:c>
      <x:c r="F18" s="38" t="str">
        <x:v>Direct workflow failure and small-portfolio overkill signal.</x:v>
      </x:c>
    </x:row>
    <x:row r="19" ht="36" customHeight="1">
      <x:c r="A19" s="36" t="str">
        <x:v>Rental maintenance</x:v>
      </x:c>
      <x:c r="B19" s="37" t="str">
        <x:v>BiggerPockets</x:v>
      </x:c>
      <x:c r="C19" s="37" t="str">
        <x:v>Software / App That Handles Maintenance Requests</x:v>
      </x:c>
      <x:c r="D19" s="37" t="str">
        <x:v>2024-05</x:v>
      </x:c>
      <x:c r="E19" s="37" t="str">
        <x:v>https://www.biggerpockets.com/forums/899/topics/1192117-software-app-that-handles-maintenance-requests</x:v>
      </x:c>
      <x:c r="F19" s="38" t="str">
        <x:v>Confirms gap perceived by 2–4 unit owners.</x:v>
      </x:c>
    </x:row>
    <x:row r="20" ht="36" customHeight="1">
      <x:c r="A20" s="36" t="str">
        <x:v>Inventory planning</x:v>
      </x:c>
      <x:c r="B20" s="37" t="str">
        <x:v>Reddit r/Shopify</x:v>
      </x:c>
      <x:c r="C20" s="37" t="str">
        <x:v>Predicting Inventory</x:v>
      </x:c>
      <x:c r="D20" s="37" t="str">
        <x:v>2024-07</x:v>
      </x:c>
      <x:c r="E20" s="37" t="str">
        <x:v>https://www.reddit.com/r/shopify/comments/1dwp69j/predicting_inventory/</x:v>
      </x:c>
      <x:c r="F20" s="38" t="str">
        <x:v>Stock planning difficulty and high pricing for existing forecasting apps.</x:v>
      </x:c>
    </x:row>
    <x:row r="21" ht="36" customHeight="1">
      <x:c r="A21" s="36" t="str">
        <x:v>Inventory planning</x:v>
      </x:c>
      <x:c r="B21" s="37" t="str">
        <x:v>Shopify Community</x:v>
      </x:c>
      <x:c r="C21" s="37" t="str">
        <x:v>Stocky sunsetting discussion</x:v>
      </x:c>
      <x:c r="D21" s="37" t="str">
        <x:v>2026-03</x:v>
      </x:c>
      <x:c r="E21" s="37" t="str">
        <x:v>https://community.shopify.com/t/with-stocky-sunsetting-in-august-2026-what-should-merchants-expect-from-modern-inventory-intelligence/588531</x:v>
      </x:c>
      <x:c r="F21" s="38" t="str">
        <x:v>Current product-transition signal and feature expectations.</x:v>
      </x:c>
    </x:row>
    <x:row r="22" ht="36" customHeight="1">
      <x:c r="A22" s="36" t="str">
        <x:v>Event/AV rental</x:v>
      </x:c>
      <x:c r="B22" s="37" t="str">
        <x:v>Reddit r/smallbusiness</x:v>
      </x:c>
      <x:c r="C22" s="37" t="str">
        <x:v>Best stack for event services and AV/equipment rental</x:v>
      </x:c>
      <x:c r="D22" s="37" t="str">
        <x:v>2026-04</x:v>
      </x:c>
      <x:c r="E22" s="37" t="str">
        <x:v>https://www.reddit.com/r/smallbusiness/comments/1szkdd1/best_software_stack_for_small_business_doing_both/</x:v>
      </x:c>
      <x:c r="F22" s="38" t="str">
        <x:v>Gear, crew, job, and maintenance-hold scheduling requirements.</x:v>
      </x:c>
    </x:row>
    <x:row r="23" ht="36" customHeight="1">
      <x:c r="A23" s="36" t="str">
        <x:v>AP automation</x:v>
      </x:c>
      <x:c r="B23" s="37" t="str">
        <x:v>Reddit r/smallbusiness</x:v>
      </x:c>
      <x:c r="C23" s="37" t="str">
        <x:v>Is automated software still making us do 50% manually?</x:v>
      </x:c>
      <x:c r="D23" s="37" t="str">
        <x:v>2026-03</x:v>
      </x:c>
      <x:c r="E23" s="37" t="str">
        <x:v>https://www.reddit.com/r/smallbusiness/comments/1ry01nd/is_it_just_me_or_is_automated_software_still/</x:v>
      </x:c>
      <x:c r="F23" s="38" t="str">
        <x:v>Document extraction and interpretation bottleneck.</x:v>
      </x:c>
    </x:row>
    <x:row r="24" ht="36" customHeight="1">
      <x:c r="A24" s="36" t="str">
        <x:v>Agency proofing</x:v>
      </x:c>
      <x:c r="B24" s="37" t="str">
        <x:v>Reddit r/webdesign</x:v>
      </x:c>
      <x:c r="C24" s="37" t="str">
        <x:v>How do you get clear client feedback without endless revisions?</x:v>
      </x:c>
      <x:c r="D24" s="37" t="str">
        <x:v>2026-01</x:v>
      </x:c>
      <x:c r="E24" s="37" t="str">
        <x:v>https://www.reddit.com/r/webdesign/comments/1pr8cuc/how_do_you_get_clear_client_feedback_without/</x:v>
      </x:c>
      <x:c r="F24" s="38" t="str">
        <x:v>Vague feedback, context scattered across tools, repeated revisions.</x:v>
      </x:c>
    </x:row>
    <x:row r="25" ht="36" customHeight="1">
      <x:c r="A25" s="36" t="str">
        <x:v>Agency proofing</x:v>
      </x:c>
      <x:c r="B25" s="37" t="str">
        <x:v>Reddit r/web_design</x:v>
      </x:c>
      <x:c r="C25" s="37" t="str">
        <x:v>How do you handle client feedback &amp; approvals without losing it?</x:v>
      </x:c>
      <x:c r="D25" s="37" t="str">
        <x:v>2025-08</x:v>
      </x:c>
      <x:c r="E25" s="37" t="str">
        <x:v>https://www.reddit.com/r/web_design/comments/1mmew8w/how_do_you_handle_client_feedback_approvals/</x:v>
      </x:c>
      <x:c r="F25" s="38" t="str">
        <x:v>Wrong-version feedback and need for an auditable approval step.</x:v>
      </x:c>
    </x:row>
    <x:row r="26" ht="36" customHeight="1">
      <x:c r="A26" s="36" t="str">
        <x:v>Pool service</x:v>
      </x:c>
      <x:c r="B26" s="37" t="str">
        <x:v>Reddit r/smallbusiness</x:v>
      </x:c>
      <x:c r="C26" s="37" t="str">
        <x:v>What app/software do you use to make bills for customers?</x:v>
      </x:c>
      <x:c r="D26" s="37" t="str">
        <x:v>2026-03</x:v>
      </x:c>
      <x:c r="E26" s="37" t="str">
        <x:v>https://www.reddit.com/r/smallbusiness/comments/1rtq9k9/what_appsoftware_do_you_use_to_make_bills_for/</x:v>
      </x:c>
      <x:c r="F26" s="38" t="str">
        <x:v>Field logging, chemistry math, and billing requirement.</x:v>
      </x:c>
    </x:row>
    <x:row r="27" ht="36" customHeight="1">
      <x:c r="A27" s="36" t="str">
        <x:v>Pool service</x:v>
      </x:c>
      <x:c r="B27" s="37" t="str">
        <x:v>Reddit r/PoolPros</x:v>
      </x:c>
      <x:c r="C27" s="37" t="str">
        <x:v>New to the pool service industry — what software do you recommend?</x:v>
      </x:c>
      <x:c r="D27" s="37" t="str">
        <x:v>2026-05</x:v>
      </x:c>
      <x:c r="E27" s="37" t="str">
        <x:v>https://www.reddit.com/r/PoolPros/comments/1tgpjgb/new_to_the_pool_service_industry_what_software_do/</x:v>
      </x:c>
      <x:c r="F27" s="38" t="str">
        <x:v>Specialist tracking gap vs. retail POS add-on.</x:v>
      </x:c>
    </x:row>
    <x:row r="28" ht="36" customHeight="1">
      <x:c r="A28" s="36" t="str">
        <x:v>Retail + field service</x:v>
      </x:c>
      <x:c r="B28" s="37" t="str">
        <x:v>Reddit r/smallbusiness</x:v>
      </x:c>
      <x:c r="C28" s="37" t="str">
        <x:v>Point of Sale / Service Scheduling</x:v>
      </x:c>
      <x:c r="D28" s="37" t="str">
        <x:v>2024-10</x:v>
      </x:c>
      <x:c r="E28" s="37" t="str">
        <x:v>https://www.reddit.com/r/smallbusiness/comments/1g8shp4/point_of_sale_service_scheduling/</x:v>
      </x:c>
      <x:c r="F28" s="38" t="str">
        <x:v>Direct evidence of separate retail, testing, service-order, and scheduling systems.</x:v>
      </x:c>
    </x:row>
    <x:row r="29" ht="36" customHeight="1">
      <x:c r="A29" s="36" t="str">
        <x:v>Returns exceptions</x:v>
      </x:c>
      <x:c r="B29" s="37" t="str">
        <x:v>Shopify Community</x:v>
      </x:c>
      <x:c r="C29" s="37" t="str">
        <x:v>Return issues: labels, carrier integrations, refunds, customer experience</x:v>
      </x:c>
      <x:c r="D29" s="37" t="str">
        <x:v>2026-05</x:v>
      </x:c>
      <x:c r="E29" s="37" t="str">
        <x:v>https://community.shopify.com/t/return-issues-with-return-labels-or-carrier-integrations-refunds-or-customer-experience/621534</x:v>
      </x:c>
      <x:c r="F29" s="38" t="str">
        <x:v>Documents exception stages after return initiation.</x:v>
      </x:c>
    </x:row>
    <x:row r="30" ht="36" customHeight="1">
      <x:c r="A30" s="36" t="str">
        <x:v>Returns exceptions</x:v>
      </x:c>
      <x:c r="B30" s="37" t="str">
        <x:v>Shopify Community</x:v>
      </x:c>
      <x:c r="C30" s="37" t="str">
        <x:v>No-receipt returns / negative qty in POS</x:v>
      </x:c>
      <x:c r="D30" s="37" t="str">
        <x:v>2023-05</x:v>
      </x:c>
      <x:c r="E30" s="37" t="str">
        <x:v>https://community.shopify.com/t/we-need-a-way-to-take-returns-with-no-receipt-pleas-allow-negative-qtys-in-pos-sales/243152</x:v>
      </x:c>
      <x:c r="F30" s="38" t="str">
        <x:v>Manual workaround and accounting/inventory risk.</x:v>
      </x:c>
    </x:row>
    <x:row r="31" ht="36" customHeight="1">
      <x:c r="A31" s="36" t="str">
        <x:v>Agency reporting templates</x:v>
      </x:c>
      <x:c r="B31" s="37" t="str">
        <x:v>HubSpot Community</x:v>
      </x:c>
      <x:c r="C31" s="37" t="str">
        <x:v>Dashboard clone to other portals</x:v>
      </x:c>
      <x:c r="D31" s="37" t="str">
        <x:v>2022-03</x:v>
      </x:c>
      <x:c r="E31" s="37" t="str">
        <x:v>https://community.hubspot.com/t5/HubSpot-Ideas/Dashboard-clone-to-other-portals/idc-p/411465/highlight/true?profile.language=pt-br</x:v>
      </x:c>
      <x:c r="F31" s="38" t="str">
        <x:v>Agency partners cite manual dashboard setup and reusable client-reporting templates.</x:v>
      </x:c>
    </x:row>
    <x:row r="32" ht="36" customHeight="1">
      <x:c r="A32" s="36" t="str">
        <x:v>UTM governance</x:v>
      </x:c>
      <x:c r="B32" s="37" t="str">
        <x:v>HubSpot Community</x:v>
      </x:c>
      <x:c r="C32" s="37" t="str">
        <x:v>Email UTM's — Tracking URL Builder</x:v>
      </x:c>
      <x:c r="D32" s="37" t="str">
        <x:v>2024-10 / 2025-07</x:v>
      </x:c>
      <x:c r="E32" s="37" t="str">
        <x:v>https://community.hubspot.com/t5/Email-Marketing-Tool/Email-UTM-s-Tracking-URL-Builder/m-p/1176150/highlight/true</x:v>
      </x:c>
      <x:c r="F32" s="38" t="str">
        <x:v>Evidence of standards sheets and manual UTM generation across marketing work.</x:v>
      </x:c>
    </x:row>
    <x:row r="33" ht="36" customHeight="1">
      <x:c r="A33" s="36" t="str">
        <x:v>UTM governance</x:v>
      </x:c>
      <x:c r="B33" s="37" t="str">
        <x:v>HubSpot Community</x:v>
      </x:c>
      <x:c r="C33" s="37" t="str">
        <x:v>Track ZoomInfo ads in a HubSpot campaign</x:v>
      </x:c>
      <x:c r="D33" s="37" t="str">
        <x:v>2026-01</x:v>
      </x:c>
      <x:c r="E33" s="37" t="str">
        <x:v>https://community.hubspot.com/t5/Ads/Best-way-to-track-Zoominfo-ads-in-a-HubSpot-Campaign/m-p/1239388</x:v>
      </x:c>
      <x:c r="F33" s="38" t="str">
        <x:v>Shows cross-platform UTM patterns can lead to inconsistent traffic categorisation and reporting.</x:v>
      </x:c>
    </x:row>
    <x:row r="34" ht="36" customHeight="1">
      <x:c r="A34" s="36" t="str">
        <x:v>Client approval chase</x:v>
      </x:c>
      <x:c r="B34" s="37" t="str">
        <x:v>HubSpot Community</x:v>
      </x:c>
      <x:c r="C34" s="37" t="str">
        <x:v>Client Timelines and Expectations</x:v>
      </x:c>
      <x:c r="D34" s="37" t="str">
        <x:v>2025-05</x:v>
      </x:c>
      <x:c r="E34" s="37" t="str">
        <x:v>https://community.hubspot.com/t5/Video-Marketing/Client-Timelines-and-Expectations/m-p/1158030</x:v>
      </x:c>
      <x:c r="F34" s="38" t="str">
        <x:v>Approval delays extend projects and can create overage billing friction for agency teams.</x:v>
      </x:c>
    </x:row>
    <x:row r="35" ht="36" customHeight="1">
      <x:c r="A35" s="36" t="str">
        <x:v>External social approvals</x:v>
      </x:c>
      <x:c r="B35" s="37" t="str">
        <x:v>HubSpot Community</x:v>
      </x:c>
      <x:c r="C35" s="37" t="str">
        <x:v>Approval Process in Social Media Content Calendar</x:v>
      </x:c>
      <x:c r="D35" s="37" t="str">
        <x:v>2018–2025</x:v>
      </x:c>
      <x:c r="E35" s="37" t="str">
        <x:v>https://community.hubspot.com/t5/HubSpot-Ideas/Approval-process-in-Social-Media-Content-Calendar/idi-p/647002</x:v>
      </x:c>
      <x:c r="F35" s="38" t="str">
        <x:v>321 upvotes and eventual enterprise feature delivery validate demand for approval notifications and a publish gate.</x:v>
      </x:c>
    </x:row>
    <x:row r="36" ht="36" customHeight="1">
      <x:c r="A36" s="39" t="str">
        <x:v>Agency maintenance control</x:v>
      </x:c>
      <x:c r="B36" s="40" t="str">
        <x:v>Warrior Forum</x:v>
      </x:c>
      <x:c r="C36" s="40" t="str">
        <x:v>Agency level tools?</x:v>
      </x:c>
      <x:c r="D36" s="40" t="str">
        <x:v>2026-05</x:v>
      </x:c>
      <x:c r="E36" s="40" t="str">
        <x:v>https://www.warriorforum.com/website-design/1519951-agency-level-tools.html</x:v>
      </x:c>
      <x:c r="F36" s="41" t="str">
        <x:v>Documents a recurring agency 'tool zoo' across renewals, support, monitoring, reporting, and recurring work.</x:v>
      </x:c>
    </x:row>
  </x:sheetData>
  <x:mergeCells>
    <x:mergeCell ref="A1:F1"/>
    <x:mergeCell ref="A2:F2"/>
    <x:mergeCell ref="A12:F1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1" hidden="0" customWidth="1"/>
    <x:col min="2" max="2" width="42" hidden="0" customWidth="1"/>
    <x:col min="3" max="3" width="23" hidden="0" customWidth="1"/>
    <x:col min="4" max="4" width="29" hidden="0" customWidth="1"/>
    <x:col min="5" max="5" width="19" hidden="0" customWidth="1"/>
    <x:col min="6" max="6" width="55" hidden="0" customWidth="1"/>
    <x:col min="7" max="7" width="54" hidden="0" customWidth="1"/>
    <x:col min="8" max="8" width="45" hidden="0" customWidth="1"/>
  </x:cols>
  <x:sheetData>
    <x:row r="1" ht="30" customHeight="1">
      <x:c r="A1" s="4" t="str">
        <x:v>Target Audience &amp; Market-Demand Evidence</x:v>
      </x:c>
      <x:c r="B1" s="4" t="str">
        <x:v>Target Audience &amp; Market-Demand Evidence</x:v>
      </x:c>
      <x:c r="C1" s="4" t="str">
        <x:v>Target Audience &amp; Market-Demand Evidence</x:v>
      </x:c>
      <x:c r="D1" s="4" t="str">
        <x:v>Target Audience &amp; Market-Demand Evidence</x:v>
      </x:c>
      <x:c r="E1" s="4" t="str">
        <x:v>Target Audience &amp; Market-Demand Evidence</x:v>
      </x:c>
      <x:c r="F1" s="4" t="str">
        <x:v>Target Audience &amp; Market-Demand Evidence</x:v>
      </x:c>
      <x:c r="G1" s="4" t="str">
        <x:v>Target Audience &amp; Market-Demand Evidence</x:v>
      </x:c>
      <x:c r="H1" s="4" t="str">
        <x:v>Target Audience &amp; Market-Demand Evidence</x:v>
      </x:c>
    </x:row>
    <x:row r="2" ht="32" customHeight="1">
      <x:c r="A2" s="127" t="str">
        <x:v>Demand proof is evidence that buyers already spend time or money on the broader problem. It is not proof that this exact product positioning will win. Target segments are hypotheses to test through interviews.</x:v>
      </x:c>
      <x:c r="B2" s="127" t="str">
        <x:v>Demand proof is evidence that buyers already spend time or money on the broader problem. It is not proof that this exact product positioning will win. Target segments are hypotheses to test through interviews.</x:v>
      </x:c>
      <x:c r="C2" s="127" t="str">
        <x:v>Demand proof is evidence that buyers already spend time or money on the broader problem. It is not proof that this exact product positioning will win. Target segments are hypotheses to test through interviews.</x:v>
      </x:c>
      <x:c r="D2" s="127" t="str">
        <x:v>Demand proof is evidence that buyers already spend time or money on the broader problem. It is not proof that this exact product positioning will win. Target segments are hypotheses to test through interviews.</x:v>
      </x:c>
      <x:c r="E2" s="127" t="str">
        <x:v>Demand proof is evidence that buyers already spend time or money on the broader problem. It is not proof that this exact product positioning will win. Target segments are hypotheses to test through interviews.</x:v>
      </x:c>
      <x:c r="F2" s="127" t="str">
        <x:v>Demand proof is evidence that buyers already spend time or money on the broader problem. It is not proof that this exact product positioning will win. Target segments are hypotheses to test through interviews.</x:v>
      </x:c>
      <x:c r="G2" s="127" t="str">
        <x:v>Demand proof is evidence that buyers already spend time or money on the broader problem. It is not proof that this exact product positioning will win. Target segments are hypotheses to test through interviews.</x:v>
      </x:c>
      <x:c r="H2" s="127" t="str">
        <x:v>Demand proof is evidence that buyers already spend time or money on the broader problem. It is not proof that this exact product positioning will win. Target segments are hypotheses to test through interviews.</x:v>
      </x:c>
    </x:row>
    <x:row r="4" ht="38" customHeight="1">
      <x:c r="A4" s="13" t="str">
        <x:v>Opportunity</x:v>
      </x:c>
      <x:c r="B4" s="13" t="str">
        <x:v>Target audience (testable hypothesis)</x:v>
      </x:c>
      <x:c r="C4" s="13" t="str">
        <x:v>Economic buyer</x:v>
      </x:c>
      <x:c r="D4" s="13" t="str">
        <x:v>Buying trigger</x:v>
      </x:c>
      <x:c r="E4" s="13" t="str">
        <x:v>Demand proof</x:v>
      </x:c>
      <x:c r="F4" s="13" t="str">
        <x:v>Market evidence snapshot</x:v>
      </x:c>
      <x:c r="G4" s="13" t="str">
        <x:v>Evidence URL</x:v>
      </x:c>
      <x:c r="H4" s="13" t="str">
        <x:v>What remains unproven</x:v>
      </x:c>
    </x:row>
    <x:row r="5" ht="78" customHeight="1">
      <x:c r="A5" s="128" t="str">
        <x:v>Construction change-order capture &amp; approval</x:v>
      </x:c>
      <x:c r="B5" s="34" t="str">
        <x:v>Residential remodelers and specialty contractors with 2–25 staff; repeat projects, frequent homeowner changes, and no dedicated project-control admin.</x:v>
      </x:c>
      <x:c r="C5" s="34" t="str">
        <x:v>Owner / general manager; sometimes a controller</x:v>
      </x:c>
      <x:c r="D5" s="34" t="str">
        <x:v>Two or more mid-project add-ons per job; client approvals buried in texts; disputed final invoices.</x:v>
      </x:c>
      <x:c r="E5" s="34" t="str">
        <x:v>Strong category demand</x:v>
      </x:c>
      <x:c r="F5" s="34" t="str">
        <x:v>JobTread and Buildertrend both sell dedicated change-order workflows. Buildertrend’s customer story identifies email-delayed client approvals as a workflow problem and says mobile creation/notification improves it.</x:v>
      </x:c>
      <x:c r="G5" s="34" t="str">
        <x:v>https://buildertrend.com/case-study/kemp-construction-management/</x:v>
      </x:c>
      <x:c r="H5" s="35" t="str">
        <x:v>Whether a stand-alone, phone-first tool can beat bundled construction suites for small contractors.</x:v>
      </x:c>
    </x:row>
    <x:row r="6" ht="78" customHeight="1">
      <x:c r="A6" s="129" t="str">
        <x:v>Shopify supplier spreadsheet → purchase-order importer</x:v>
      </x:c>
      <x:c r="B6" s="37" t="str">
        <x:v>Shopify merchants with 50–1,000 SKUs, 3+ repeat suppliers, and one buyer/ops manager who still receives supplier XLSX/CSV files.</x:v>
      </x:c>
      <x:c r="C6" s="37" t="str">
        <x:v>E-commerce operations manager / inventory buyer</x:v>
      </x:c>
      <x:c r="D6" s="37" t="str">
        <x:v>A supplier file needs to become a PO; current process requires manual SKU search and re-entry.</x:v>
      </x:c>
      <x:c r="E6" s="37" t="str">
        <x:v>Strong category demand</x:v>
      </x:c>
      <x:c r="F6" s="37" t="str">
        <x:v>Inventory Planner by Sage has 148 Shopify App Store reviews and users cite forecasting and purchase-order management. This validates paid stock-planning demand, not the import-only wedge.</x:v>
      </x:c>
      <x:c r="G6" s="37" t="str">
        <x:v>https://apps.shopify.com/inventory-planner/reviews?page=1</x:v>
      </x:c>
      <x:c r="H6" s="38" t="str">
        <x:v>Whether merchants will switch or add an app solely for file-to-PO conversion versus using a broader inventory suite.</x:v>
      </x:c>
    </x:row>
    <x:row r="7" ht="78" customHeight="1">
      <x:c r="A7" s="129" t="str">
        <x:v>Maintenance coordination for small rental portfolios</x:v>
      </x:c>
      <x:c r="B7" s="37" t="str">
        <x:v>Self-managing landlords and small property managers with 5–80 doors, several vendors, and no full-time maintenance coordinator.</x:v>
      </x:c>
      <x:c r="C7" s="37" t="str">
        <x:v>Owner / principal property manager</x:v>
      </x:c>
      <x:c r="D7" s="37" t="str">
        <x:v>Maintenance requests arrive after-hours; vendor/tenant access and owner approvals require repeated chasing.</x:v>
      </x:c>
      <x:c r="E7" s="37" t="str">
        <x:v>Moderate—broad category proven</x:v>
      </x:c>
      <x:c r="F7" s="37" t="str">
        <x:v>Buildium cites Property Meld data covering 10M+ work orders; its guidance explicitly describes requests getting lost across texts, emails, and voicemails. This proves workflow scale, while the 5–80 door segment remains less proven.</x:v>
      </x:c>
      <x:c r="G7" s="37" t="str">
        <x:v>https://www.buildium.com/blog/maintenance-request-systems/</x:v>
      </x:c>
      <x:c r="H7" s="38" t="str">
        <x:v>A low-cost, standalone maintenance workflow must prove it is preferable to entry-level property-management systems.</x:v>
      </x:c>
    </x:row>
    <x:row r="8" ht="78" customHeight="1">
      <x:c r="A8" s="129" t="str">
        <x:v>Human-reviewable inventory planning for Shopify</x:v>
      </x:c>
      <x:c r="B8" s="37" t="str">
        <x:v>DTC brands with 100–1,500 SKUs, seasonal promotions, supplier lead times, and a buyer who manually overrides spreadsheet forecasts.</x:v>
      </x:c>
      <x:c r="C8" s="37" t="str">
        <x:v>Head of operations / purchasing manager</x:v>
      </x:c>
      <x:c r="D8" s="37" t="str">
        <x:v>Stockouts, excess stock, or forecasting errors after promotions and out-of-stock periods.</x:v>
      </x:c>
      <x:c r="E8" s="37" t="str">
        <x:v>Strong category demand</x:v>
      </x:c>
      <x:c r="F8" s="37" t="str">
        <x:v>Inventory Planner’s 148 App Store reviews include long-term users who cite forecasting and direct PO management; this demonstrates active paid demand for planning workflows.</x:v>
      </x:c>
      <x:c r="G8" s="37" t="str">
        <x:v>https://apps.shopify.com/inventory-planner/reviews?page=1</x:v>
      </x:c>
      <x:c r="H8" s="38" t="str">
        <x:v>Whether a new product can differentiate in a crowded category without a specific vertical, data-quality, or review-control advantage.</x:v>
      </x:c>
    </x:row>
    <x:row r="9" ht="78" customHeight="1">
      <x:c r="A9" s="129" t="str">
        <x:v>Equipment + crew availability for event/AV rental</x:v>
      </x:c>
      <x:c r="B9" s="37" t="str">
        <x:v>Event/AV rental firms with 2–30 crew, 50–2,000 rentable assets, and a mix of equipment hire plus installation/service work.</x:v>
      </x:c>
      <x:c r="C9" s="37" t="str">
        <x:v>Operations manager / rental owner</x:v>
      </x:c>
      <x:c r="D9" s="37" t="str">
        <x:v>Avoiding equipment and crew conflicts across quoted jobs, confirmed bookings, maintenance holds, and events.</x:v>
      </x:c>
      <x:c r="E9" s="37" t="str">
        <x:v>Strong category demand</x:v>
      </x:c>
      <x:c r="F9" s="37" t="str">
        <x:v>Booqable reports 8,000+ equipment-rental businesses worldwide and 1,000+ reviews, showing paid demand for equipment availability and booking operations.</x:v>
      </x:c>
      <x:c r="G9" s="37" t="str">
        <x:v>https://booqable.com/industries/equipment-rental-software/</x:v>
      </x:c>
      <x:c r="H9" s="38" t="str">
        <x:v>Whether the AV-specific combination of gear, crews, and maintenance is underserved enough to displace existing rental software.</x:v>
      </x:c>
    </x:row>
    <x:row r="10" ht="78" customHeight="1">
      <x:c r="A10" s="129" t="str">
        <x:v>Accounts-payable inbox to clean reconciliation</x:v>
      </x:c>
      <x:c r="B10" s="37" t="str">
        <x:v>Service SMBs with 20–200 staff, QuickBooks/Xero, multiple approvers, and roughly 100–1,000 supplier invoices per month.</x:v>
      </x:c>
      <x:c r="C10" s="37" t="str">
        <x:v>Finance manager / controller; outsourced accounting firm</x:v>
      </x:c>
      <x:c r="D10" s="37" t="str">
        <x:v>Invoice PDFs arrive by email; coding, approvals, duplicates, and reconciliation require exception handling.</x:v>
      </x:c>
      <x:c r="E10" s="37" t="str">
        <x:v>Very strong category demand</x:v>
      </x:c>
      <x:c r="F10" s="37" t="str">
        <x:v>BILL reported about 169,500 AP/AR customers as of June 30, 2025, $279B AP/AR payment volume in FY2025, and a workflow covering capture, approval, duplicate detection, payment, and accounting sync.</x:v>
      </x:c>
      <x:c r="G10" s="37" t="str">
        <x:v>https://www.sec.gov/Archives/edgar/data/1786352/000178635225000037/bill-20250630.htm</x:v>
      </x:c>
      <x:c r="H10" s="38" t="str">
        <x:v>A general AP tool is highly crowded; validate a vertical document format or a distinct exception/approval workflow before building.</x:v>
      </x:c>
    </x:row>
    <x:row r="11" ht="78" customHeight="1">
      <x:c r="A11" s="129" t="str">
        <x:v>Pool-service stop log → invoice &amp; customer proof</x:v>
      </x:c>
      <x:c r="B11" s="37" t="str">
        <x:v>Recurring pool-service operators with 1–10 technicians and 50–500 pools; field teams must log chemistry, photos, and parts at each stop.</x:v>
      </x:c>
      <x:c r="C11" s="37" t="str">
        <x:v>Owner / office manager</x:v>
      </x:c>
      <x:c r="D11" s="37" t="str">
        <x:v>Technicians record service details in the field; office re-keys chemicals, notes, and visits into invoices.</x:v>
      </x:c>
      <x:c r="E11" s="37" t="str">
        <x:v>Moderate—vertical spend exists</x:v>
      </x:c>
      <x:c r="F11" s="37" t="str">
        <x:v>Pool Brain was selected by America’s Swimming Pool Company as its software provider and sells route, job, chemical, proof-of-service, invoicing, and billing workflows. Its comparison publishes a $245/month example for a 3-tech company.</x:v>
      </x:c>
      <x:c r="G11" s="37" t="str">
        <x:v>https://poolcompanysoftware.poolbrain.com/pool-brain-blog/americas-swimming-pool-company-asp-selects-pool-brain-as-software-provider-to-streamline-operations</x:v>
      </x:c>
      <x:c r="H11" s="38" t="str">
        <x:v>Whether a lower-cost solo/small-route product has enough switching motivation against established specialist tools.</x:v>
      </x:c>
    </x:row>
    <x:row r="12" ht="78" customHeight="1">
      <x:c r="A12" s="129" t="str">
        <x:v>Retail POS + field-service operations connector</x:v>
      </x:c>
      <x:c r="B12" s="37" t="str">
        <x:v>Multi-location service retailers with 2–10 stores, field crews, stocked parts/chemicals, and separate retail, scheduling, and accounting systems.</x:v>
      </x:c>
      <x:c r="C12" s="37" t="str">
        <x:v>COO / operations director / controller</x:v>
      </x:c>
      <x:c r="D12" s="37" t="str">
        <x:v>Field consumption, retail stock, work orders, and invoices fall out of sync; staff reconcile daily.</x:v>
      </x:c>
      <x:c r="E12" s="37" t="str">
        <x:v>Strong integration demand; niche unproven</x:v>
      </x:c>
      <x:c r="F12" s="37" t="str">
        <x:v>Microsoft sells a Business Central–Field Service integration specifically for bi-directional item, inventory, resource, work-order, consumption, and invoice syncing. A listed implementation package starts at $50,000.</x:v>
      </x:c>
      <x:c r="G12" s="37" t="str">
        <x:v>https://appsource.microsoft.com/fr-fr/product/dynamics-365-business-central/PUBID.microsoftdynsmb%7CAID.fieldserviceintegration%7CPAPPID.1ba1031e-eae9-4f20-b9d2-d19b6d1e3f29?tab=Overview</x:v>
      </x:c>
      <x:c r="H12" s="38" t="str">
        <x:v>Enterprise integration spend proves the problem, but a repeatable lower-market connector must be validated for one vertical and system pair.</x:v>
      </x:c>
    </x:row>
    <x:row r="13" ht="78" customHeight="1">
      <x:c r="A13" s="129" t="str">
        <x:v>Visual client feedback and enforceable sign-off</x:v>
      </x:c>
      <x:c r="B13" s="37" t="str">
        <x:v>Web/design agencies with 2–25 staff, 10+ concurrent client projects, and recurring website/mockup approval cycles.</x:v>
      </x:c>
      <x:c r="C13" s="37" t="str">
        <x:v>Agency owner, account director, or project manager</x:v>
      </x:c>
      <x:c r="D13" s="37" t="str">
        <x:v>Vague or wrong-version feedback causes revision loops; agencies need an auditable client sign-off.</x:v>
      </x:c>
      <x:c r="E13" s="37" t="str">
        <x:v>Strong category demand</x:v>
      </x:c>
      <x:c r="F13" s="37" t="str">
        <x:v>Filestage customer stories cite 50+ hours saved, 1–2 fewer review rounds, and one agency reporting 20% daily time saved by reducing client email back-and-forth.</x:v>
      </x:c>
      <x:c r="G13" s="37" t="str">
        <x:v>https://filestage.io/customers/</x:v>
      </x:c>
      <x:c r="H13" s="38" t="str">
        <x:v>The broader proofing market is mature; validate an underserved file type or a deep website-builder/client-portal integration.</x:v>
      </x:c>
    </x:row>
    <x:row r="14" ht="78" customHeight="1">
      <x:c r="A14" s="130" t="str">
        <x:v>Shopify return-exception control plane</x:v>
      </x:c>
      <x:c r="B14" s="40" t="str">
        <x:v>Omnichannel Shopify brands with 100+ monthly returns, Shopify POS, a 3PL/ERP, and manual finance/CX exceptions.</x:v>
      </x:c>
      <x:c r="C14" s="40" t="str">
        <x:v>E-commerce operations lead / CX operations manager</x:v>
      </x:c>
      <x:c r="D14" s="40" t="str">
        <x:v>Delayed scans, partial returns, exchanges, no-receipt cases, and refunds before receipt create inventory/accounting exceptions.</x:v>
      </x:c>
      <x:c r="E14" s="40" t="str">
        <x:v>Strong category demand</x:v>
      </x:c>
      <x:c r="F14" s="40" t="str">
        <x:v>AfterShip Returns &amp; Exchanges has 1,242 Shopify App Store reviews and paid tiers; ReturnGO has 375 reviews. Both offer rules, labels, exchanges, and tracking, showing merchants pay for returns workflows.</x:v>
      </x:c>
      <x:c r="G14" s="40" t="str">
        <x:v>https://apps.shopify.com/returns-center-by-aftership?surface_detail=point-of-sale&amp;surface_inter_position=1&amp;surface_intra_position=9&amp;surface_type=app_group&amp;surface_version=simplified</x:v>
      </x:c>
      <x:c r="H14" s="41" t="str">
        <x:v>Complex POS/ERP exception control is narrower than a returns portal—verify API permissions and interview retailers with high exception volume.</x:v>
      </x:c>
    </x:row>
  </x:sheetData>
  <x:mergeCells>
    <x:mergeCell ref="A1:H1"/>
    <x:mergeCell ref="A2:H2"/>
  </x:mergeCells>
  <x:conditionalFormatting sqref="E5:E14">
    <x:cfRule type="containsText" dxfId="5" priority="1" operator="containsText" text="Very strong"/>
    <x:cfRule type="containsText" dxfId="6" priority="2" operator="containsText" text="Strong"/>
    <x:cfRule type="containsText" dxfId="7" priority="3" operator="containsText" text="Moderate"/>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33" hidden="0" customWidth="1"/>
    <x:col min="3" max="3" width="36" hidden="0" customWidth="1"/>
    <x:col min="4" max="4" width="45" hidden="0" customWidth="1"/>
    <x:col min="5" max="5" width="45" hidden="0" customWidth="1"/>
    <x:col min="6" max="6" width="48" hidden="0" customWidth="1"/>
    <x:col min="7" max="7" width="20" hidden="0" customWidth="1"/>
    <x:col min="8" max="8" width="62" hidden="0" customWidth="1"/>
    <x:col min="9" max="9" width="48" hidden="0" customWidth="1"/>
  </x:cols>
  <x:sheetData>
    <x:row r="1" ht="30" customHeight="1">
      <x:c r="A1" s="4" t="str">
        <x:v>Marketer &amp; Agency Community Scan</x:v>
      </x:c>
      <x:c r="B1" s="4" t="str">
        <x:v>Marketer &amp; Agency Community Scan</x:v>
      </x:c>
      <x:c r="C1" s="4" t="str">
        <x:v>Marketer &amp; Agency Community Scan</x:v>
      </x:c>
      <x:c r="D1" s="4" t="str">
        <x:v>Marketer &amp; Agency Community Scan</x:v>
      </x:c>
      <x:c r="E1" s="4" t="str">
        <x:v>Marketer &amp; Agency Community Scan</x:v>
      </x:c>
      <x:c r="F1" s="4" t="str">
        <x:v>Marketer &amp; Agency Community Scan</x:v>
      </x:c>
      <x:c r="G1" s="4" t="str">
        <x:v>Marketer &amp; Agency Community Scan</x:v>
      </x:c>
      <x:c r="H1" s="4" t="str">
        <x:v>Marketer &amp; Agency Community Scan</x:v>
      </x:c>
      <x:c r="I1" s="4" t="str">
        <x:v>Marketer &amp; Agency Community Scan</x:v>
      </x:c>
    </x:row>
    <x:row r="2" ht="34" customHeight="1">
      <x:c r="A2" s="127" t="str">
        <x:v>Sources: HubSpot Community and Warrior Forum. These are marketing practitioners, RevOps operators, freelancers, and agency teams. Evidence is qualitative; use the listed early interview to validate willingness to pay and a narrow wedge.</x:v>
      </x:c>
      <x:c r="B2" s="127" t="str">
        <x:v>Sources: HubSpot Community and Warrior Forum. These are marketing practitioners, RevOps operators, freelancers, and agency teams. Evidence is qualitative; use the listed early interview to validate willingness to pay and a narrow wedge.</x:v>
      </x:c>
      <x:c r="C2" s="127" t="str">
        <x:v>Sources: HubSpot Community and Warrior Forum. These are marketing practitioners, RevOps operators, freelancers, and agency teams. Evidence is qualitative; use the listed early interview to validate willingness to pay and a narrow wedge.</x:v>
      </x:c>
      <x:c r="D2" s="127" t="str">
        <x:v>Sources: HubSpot Community and Warrior Forum. These are marketing practitioners, RevOps operators, freelancers, and agency teams. Evidence is qualitative; use the listed early interview to validate willingness to pay and a narrow wedge.</x:v>
      </x:c>
      <x:c r="E2" s="127" t="str">
        <x:v>Sources: HubSpot Community and Warrior Forum. These are marketing practitioners, RevOps operators, freelancers, and agency teams. Evidence is qualitative; use the listed early interview to validate willingness to pay and a narrow wedge.</x:v>
      </x:c>
      <x:c r="F2" s="127" t="str">
        <x:v>Sources: HubSpot Community and Warrior Forum. These are marketing practitioners, RevOps operators, freelancers, and agency teams. Evidence is qualitative; use the listed early interview to validate willingness to pay and a narrow wedge.</x:v>
      </x:c>
      <x:c r="G2" s="127" t="str">
        <x:v>Sources: HubSpot Community and Warrior Forum. These are marketing practitioners, RevOps operators, freelancers, and agency teams. Evidence is qualitative; use the listed early interview to validate willingness to pay and a narrow wedge.</x:v>
      </x:c>
      <x:c r="H2" s="127" t="str">
        <x:v>Sources: HubSpot Community and Warrior Forum. These are marketing practitioners, RevOps operators, freelancers, and agency teams. Evidence is qualitative; use the listed early interview to validate willingness to pay and a narrow wedge.</x:v>
      </x:c>
      <x:c r="I2" s="127" t="str">
        <x:v>Sources: HubSpot Community and Warrior Forum. These are marketing practitioners, RevOps operators, freelancers, and agency teams. Evidence is qualitative; use the listed early interview to validate willingness to pay and a narrow wedge.</x:v>
      </x:c>
    </x:row>
    <x:row r="4" ht="42" customHeight="1">
      <x:c r="A4" s="13" t="str">
        <x:v>Community / practitioner type</x:v>
      </x:c>
      <x:c r="B4" s="13" t="str">
        <x:v>Pain point</x:v>
      </x:c>
      <x:c r="C4" s="13" t="str">
        <x:v>Target audience</x:v>
      </x:c>
      <x:c r="D4" s="13" t="str">
        <x:v>Observed user evidence</x:v>
      </x:c>
      <x:c r="E4" s="13" t="str">
        <x:v>Smallest useful SaaS wedge</x:v>
      </x:c>
      <x:c r="F4" s="13" t="str">
        <x:v>Proof of market demand / spend</x:v>
      </x:c>
      <x:c r="G4" s="13" t="str">
        <x:v>Promise</x:v>
      </x:c>
      <x:c r="H4" s="13" t="str">
        <x:v>Source URL</x:v>
      </x:c>
      <x:c r="I4" s="13" t="str">
        <x:v>Caution before building</x:v>
      </x:c>
    </x:row>
    <x:row r="5" ht="104" customHeight="1">
      <x:c r="A5" s="128" t="str">
        <x:v>HubSpot Community — agency partners and client-reporting teams</x:v>
      </x:c>
      <x:c r="B5" s="34" t="str">
        <x:v>Agencies recreate the same reporting dashboards in each client portal; a lack of reusable templates creates manual setup and inconsistent client reporting.</x:v>
      </x:c>
      <x:c r="C5" s="34" t="str">
        <x:v>HubSpot partner agencies with 5–50 client portals, standard monthly reporting packages, and a small operations/RevOps team.</x:v>
      </x:c>
      <x:c r="D5" s="34" t="str">
        <x:v>An agency partner asks to clone standard dashboards across portals to save manual labour; several agency partners reply that it would create substantial value.</x:v>
      </x:c>
      <x:c r="E5" s="34" t="str">
        <x:v>Client-reporting template installer: define a metric bundle once, map fields per portal, surface broken mappings, and generate a client-facing metric glossary. Do not build a BI platform.</x:v>
      </x:c>
      <x:c r="F5" s="34" t="str">
        <x:v>Clear paid workflow context: agencies already sell reporting as a service and HubSpot positions dashboard cloning as a requested agency use case. Existing reporting tools validate spend, but this wedge focuses on portal setup and QA.</x:v>
      </x:c>
      <x:c r="G5" s="34" t="str">
        <x:v>Promising — validate</x:v>
      </x:c>
      <x:c r="H5" s="34" t="str">
        <x:v>https://community.hubspot.com/t5/HubSpot-Ideas/Dashboard-clone-to-other-portals/idc-p/411465/highlight/true?profile.language=pt-br</x:v>
      </x:c>
      <x:c r="I5" s="35" t="str">
        <x:v>Crowded reporting category. Win only if template deployment and mapping QA are materially faster than AgencyAnalytics, Databox, or manual portal setup.</x:v>
      </x:c>
    </x:row>
    <x:row r="6" ht="104" customHeight="1">
      <x:c r="A6" s="129" t="str">
        <x:v>HubSpot Community — demand-gen and paid-media marketers</x:v>
      </x:c>
      <x:c r="B6" s="37" t="str">
        <x:v>Campaign names and UTM parameters become inconsistent across ad, email, and CRM tools; marketers keep a standards sheet and manually build links, risking broken attribution.</x:v>
      </x:c>
      <x:c r="C6" s="37" t="str">
        <x:v>B2B marketing teams and performance agencies running 20+ campaigns per quarter across HubSpot, ad platforms, and email tools.</x:v>
      </x:c>
      <x:c r="D6" s="37" t="str">
        <x:v>A practitioner describes maintaining a standards sheet and manually generating UTMs; another post explains that platform-specific UTM patterns can put traffic in the wrong reporting bucket.</x:v>
      </x:c>
      <x:c r="E6" s="37" t="str">
        <x:v>Campaign brief to governed link builder: enforce naming rules, create approved variants, detect invalid live UTMs, and reconcile source/medium/campaign values before reporting.</x:v>
      </x:c>
      <x:c r="F6" s="37" t="str">
        <x:v>The workaround is a manual standards sheet plus UTM builders; attribution errors affect paid-media and reporting decisions. Several specialized UTM tools exist, confirming willingness to pay, but a CRM-aware QA wedge needs testing.</x:v>
      </x:c>
      <x:c r="G6" s="37" t="str">
        <x:v>Promising — validate</x:v>
      </x:c>
      <x:c r="H6" s="37" t="str">
        <x:v>https://community.hubspot.com/t5/Email-Marketing-Tool/Email-UTM-s-Tracking-URL-Builder/m-p/1176150/highlight/true</x:v>
      </x:c>
      <x:c r="I6" s="38" t="str">
        <x:v>UTM builders are commoditized. Validate a specific differentiator such as HubSpot + paid-media reconciliation, approval gates, or a white-label agency workflow.</x:v>
      </x:c>
    </x:row>
    <x:row r="7" ht="104" customHeight="1">
      <x:c r="A7" s="129" t="str">
        <x:v>HubSpot Community — freelance video/content marketers and agencies</x:v>
      </x:c>
      <x:c r="B7" s="37" t="str">
        <x:v>Client feedback and approvals arrive late, causing missed launch dates, extra revision work, and uncomfortable scope/billing conversations.</x:v>
      </x:c>
      <x:c r="C7" s="37" t="str">
        <x:v>Content, video, and social agencies with 5–30 active clients, recurring calendars, and a client-side approver who often delays feedback.</x:v>
      </x:c>
      <x:c r="D7" s="37" t="str">
        <x:v>A freelance video marketer says inconsistent client approvals push timelines out despite proposal-level approval rules; a HubSpot expert replies that agency teams would benefit from a solution.</x:v>
      </x:c>
      <x:c r="E7" s="37" t="str">
        <x:v>Approval chase layer: one branded approval page per deliverable, deadline and escalation rules, client-visible impact on launch date, and an exportable approval/overage record. Integrate with existing creation tools.</x:v>
      </x:c>
      <x:c r="F7" s="37" t="str">
        <x:v>Agencies already use proposal clauses, calls, and manual follow-up; forum discussion explicitly ties delayed approvals to extended projects and overage bills. Proofing software proves category spend, but this wedge is approval accountability.</x:v>
      </x:c>
      <x:c r="G7" s="37" t="str">
        <x:v>Promising — validate</x:v>
      </x:c>
      <x:c r="H7" s="37" t="str">
        <x:v>https://community.hubspot.com/t5/Video-Marketing/Client-Timelines-and-Expectations/m-p/1158030</x:v>
      </x:c>
      <x:c r="I7" s="38" t="str">
        <x:v>General proofing is mature. Test whether agencies will switch for a client-chasing/escalation workflow rather than simply use Filestage, Ziflow, or project management software.</x:v>
      </x:c>
    </x:row>
    <x:row r="8" ht="104" customHeight="1">
      <x:c r="A8" s="129" t="str">
        <x:v>HubSpot Community — social teams, franchise marketers, and partner agencies</x:v>
      </x:c>
      <x:c r="B8" s="37" t="str">
        <x:v>Approval workflows for social posts need client/franchise review, comments, revision, and a hard publish gate; ad-hoc email or third-party tools fragment the process.</x:v>
      </x:c>
      <x:c r="C8" s="37" t="str">
        <x:v>Multi-location brands, franchise networks, and social agencies that publish across 10–200 client or local accounts.</x:v>
      </x:c>
      <x:c r="D8" s="37" t="str">
        <x:v>A partner agency describes clients reviewing scheduled posts, requesting revisions, then approving before publishing; another thread accumulated 321 upvotes for notifications and formal approval flow.</x:v>
      </x:c>
      <x:c r="E8" s="37" t="str">
        <x:v>Client/external-approver workflow for social: branded email or SMS approvals, per-location permissions, revision trace, publication lock, and an audit packet. Start with one scheduler integration.</x:v>
      </x:c>
      <x:c r="F8" s="37" t="str">
        <x:v>321 upvotes and an eventual enterprise feature release demonstrate demand. The fact that users wanted to stop using third-party planning/approval sites indicates paid-tool spend and integration friction.</x:v>
      </x:c>
      <x:c r="G8" s="37" t="str">
        <x:v>Validate niche</x:v>
      </x:c>
      <x:c r="H8" s="37" t="str">
        <x:v>https://community.hubspot.com/t5/HubSpot-Ideas/Approval-process-in-Social-Media-Content-Calendar/idi-p/647002</x:v>
      </x:c>
      <x:c r="I8" s="38" t="str">
        <x:v>HubSpot now offers social approvals for some enterprise users. Focus on multi-client or franchise external approval where platform coverage and permissions remain incomplete.</x:v>
      </x:c>
    </x:row>
    <x:row r="9" ht="104" customHeight="1">
      <x:c r="A9" s="130" t="str">
        <x:v>Warrior Forum — small web and marketing agencies</x:v>
      </x:c>
      <x:c r="B9" s="40" t="str">
        <x:v>Post-launch agency operations are scattered across task tools, spreadsheets, email, uptime monitoring, password vaults, reporting documents, renewal notes, and support requests.</x:v>
      </x:c>
      <x:c r="C9" s="40" t="str">
        <x:v>Website/marketing agencies with 3–20 staff managing 20–150 recurring website clients and monthly maintenance retainers.</x:v>
      </x:c>
      <x:c r="D9" s="40" t="str">
        <x:v>An agency operator lists Trello, spreadsheets, email, uptime tools, password vaults, reporting docs, hosting notes, and recurring work as a 'tool zoo'; a reply says this fragmentation is normal in small agencies.</x:v>
      </x:c>
      <x:c r="E9" s="40" t="str">
        <x:v>Renewal and recurring-work control tower: client asset inventory, domain/hosting renewal reminders, maintenance proof, client request intake, and a monthly service-delivery checklist. Avoid replacing PSA/project management.</x:v>
      </x:c>
      <x:c r="F9" s="40" t="str">
        <x:v>These are recurring, retainer-linked operations with direct renewal/reputation risk. Agencies already pay for each point tool; a narrowly scoped coordination layer can be tested through concierge onboarding.</x:v>
      </x:c>
      <x:c r="G9" s="40" t="str">
        <x:v>Promising — validate</x:v>
      </x:c>
      <x:c r="H9" s="40" t="str">
        <x:v>https://www.warriorforum.com/website-design/1519951-agency-level-tools.html</x:v>
      </x:c>
      <x:c r="I9" s="41" t="str">
        <x:v>Broad agency OS products are common. Limit v1 to recurring website maintenance and renewal risk, then test whether it earns a distinct budget rather than becoming another dashboard.</x:v>
      </x:c>
    </x:row>
  </x:sheetData>
  <x:mergeCells>
    <x:mergeCell ref="A1:I1"/>
    <x:mergeCell ref="A2:I2"/>
  </x:mergeCells>
  <x:conditionalFormatting sqref="G5:G9">
    <x:cfRule type="containsText" dxfId="8" priority="1" operator="containsText" text="Promising"/>
    <x:cfRule type="containsText" dxfId="9" priority="2" operator="containsText" text="Validate"/>
    <x:cfRule type="containsText" dxfId="10" priority="3" operator="containsText" text="niche"/>
  </x:conditionalFormatting>
  <x:pageMargins left="0.7" right="0.7" top="0.75" bottom="0.75" header="0.3" footer="0.3"/>
</x:worksheet>
</file>